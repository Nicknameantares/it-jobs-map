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пании" sheetId="1" state="visible" r:id="rId3"/>
    <sheet name="Мои отклики" sheetId="2" state="visible" r:id="rId4"/>
    <sheet name="Агрегаторы" sheetId="3" state="visible" r:id="rId5"/>
    <sheet name="Как пользоватьс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<sst xmlns="http://schemas.openxmlformats.org/spreadsheetml/2006/main" count="330" uniqueCount="168">
  <si>
    <t xml:space="preserve">Карта ИТ-работодателей</t>
  </si>
  <si>
    <t xml:space="preserve">28 крупных ИТ-компаний России: прямые ссылки на карьерные сайты и разделы вакансий. Проверено в октябре 2026.</t>
  </si>
  <si>
    <t xml:space="preserve">Компания</t>
  </si>
  <si>
    <t xml:space="preserve">Сегмент</t>
  </si>
  <si>
    <t xml:space="preserve">Все вакансии</t>
  </si>
  <si>
    <t xml:space="preserve">ИТ и разработка</t>
  </si>
  <si>
    <t xml:space="preserve">Бизнес и менеджмент</t>
  </si>
  <si>
    <t xml:space="preserve">Стажировки</t>
  </si>
  <si>
    <t xml:space="preserve">Удалённо</t>
  </si>
  <si>
    <t xml:space="preserve">hh.ru</t>
  </si>
  <si>
    <t xml:space="preserve">Что внутри</t>
  </si>
  <si>
    <t xml:space="preserve">ЭКОСИСТЕМЫ</t>
  </si>
  <si>
    <t xml:space="preserve">Яндекс</t>
  </si>
  <si>
    <t xml:space="preserve">Экосистемы</t>
  </si>
  <si>
    <t xml:space="preserve">Все вакансии →</t>
  </si>
  <si>
    <t xml:space="preserve">—</t>
  </si>
  <si>
    <t xml:space="preserve">Развитие бизнеса →</t>
  </si>
  <si>
    <t xml:space="preserve">Работодатель →</t>
  </si>
  <si>
    <t xml:space="preserve">Поиск, Маркет, Go, Еда, Облако, Реклама и другие бизнес-юниты на одном сайте</t>
  </si>
  <si>
    <t xml:space="preserve">Сбер</t>
  </si>
  <si>
    <t xml:space="preserve">Поиск вакансий →</t>
  </si>
  <si>
    <t xml:space="preserve">Профессионалам и руководителям →</t>
  </si>
  <si>
    <t xml:space="preserve">Банк и дочерние компании экосистемы; отдельный раздел для опытных специалистов</t>
  </si>
  <si>
    <t xml:space="preserve">VK</t>
  </si>
  <si>
    <t xml:space="preserve">Backend →</t>
  </si>
  <si>
    <t xml:space="preserve">Продажи и развитие бизнеса →</t>
  </si>
  <si>
    <t xml:space="preserve">Удалённо →</t>
  </si>
  <si>
    <t xml:space="preserve">Соцсети, VK Tech, VK Cloud, реклама, медиа; фильтры по специальностям</t>
  </si>
  <si>
    <t xml:space="preserve">МАРКЕТПЛЕЙСЫ И E-COM</t>
  </si>
  <si>
    <t xml:space="preserve">Ozon</t>
  </si>
  <si>
    <t xml:space="preserve">Маркетплейсы и e-com</t>
  </si>
  <si>
    <t xml:space="preserve">Разработка →</t>
  </si>
  <si>
    <t xml:space="preserve">Ozon Fintech →</t>
  </si>
  <si>
    <t xml:space="preserve">Маркетплейс, логистика и Ozon Fintech</t>
  </si>
  <si>
    <t xml:space="preserve">Wildberries (RWB)</t>
  </si>
  <si>
    <t xml:space="preserve">Карьера →</t>
  </si>
  <si>
    <t xml:space="preserve">Стажировки →</t>
  </si>
  <si>
    <t xml:space="preserve">Маркетплейс, логистика, банк; много линейных вакансий, офисные ищите по ключевым словам</t>
  </si>
  <si>
    <t xml:space="preserve">X5 Group</t>
  </si>
  <si>
    <t xml:space="preserve">Карьерный портал →</t>
  </si>
  <si>
    <t xml:space="preserve">X5 Tech →</t>
  </si>
  <si>
    <t xml:space="preserve">Ритейл, X5 Tech, доставка и цифровые бизнесы</t>
  </si>
  <si>
    <t xml:space="preserve">Самокат (ecom.tech)</t>
  </si>
  <si>
    <t xml:space="preserve">ИТ-вакансии →</t>
  </si>
  <si>
    <t xml:space="preserve">Бизнес и процессы →</t>
  </si>
  <si>
    <t xml:space="preserve">Поиск →</t>
  </si>
  <si>
    <t xml:space="preserve">Быстрая доставка; ИТ-команда работает под брендом ecom.tech</t>
  </si>
  <si>
    <t xml:space="preserve">Lamoda</t>
  </si>
  <si>
    <t xml:space="preserve">Карьерный сайт →</t>
  </si>
  <si>
    <t xml:space="preserve">Fashion e-commerce: ИТ, коммерция, логистика</t>
  </si>
  <si>
    <t xml:space="preserve">ФИНТЕХ И БАНКИ</t>
  </si>
  <si>
    <t xml:space="preserve">Т-Банк</t>
  </si>
  <si>
    <t xml:space="preserve">Финтех и банки</t>
  </si>
  <si>
    <t xml:space="preserve">Работа в ИТ →</t>
  </si>
  <si>
    <t xml:space="preserve">Маркетинг, финансы, HR, аналитика →</t>
  </si>
  <si>
    <t xml:space="preserve">Финтех-экосистема; отдельные разделы для ИТ и офисных ролей</t>
  </si>
  <si>
    <t xml:space="preserve">Альфа-Банк</t>
  </si>
  <si>
    <t xml:space="preserve">Alfa Digital →</t>
  </si>
  <si>
    <t xml:space="preserve">Alfa Digital — ИТ-подразделение банка</t>
  </si>
  <si>
    <t xml:space="preserve">ВТБ</t>
  </si>
  <si>
    <t xml:space="preserve">ИТ в ВТБ →</t>
  </si>
  <si>
    <t xml:space="preserve">ВТБ Юниор →</t>
  </si>
  <si>
    <t xml:space="preserve">Банк; отдельный раздел для ИТ и стажировки</t>
  </si>
  <si>
    <t xml:space="preserve">Газпромбанк</t>
  </si>
  <si>
    <t xml:space="preserve">Вакансии →</t>
  </si>
  <si>
    <t xml:space="preserve">Банк и цифровые сервисы</t>
  </si>
  <si>
    <t xml:space="preserve">Совкомбанк</t>
  </si>
  <si>
    <t xml:space="preserve">Банк, партнёрские сети, цифровые продукты</t>
  </si>
  <si>
    <t xml:space="preserve">Точка</t>
  </si>
  <si>
    <t xml:space="preserve">Удалённые вакансии →</t>
  </si>
  <si>
    <t xml:space="preserve">Банк для предпринимателей; много удалённых вакансий</t>
  </si>
  <si>
    <t xml:space="preserve">ТЕЛЕКОМ</t>
  </si>
  <si>
    <t xml:space="preserve">МТС</t>
  </si>
  <si>
    <t xml:space="preserve">Телеком</t>
  </si>
  <si>
    <t xml:space="preserve">Телеком и цифровая экосистема: MWS, МТС Линк, МТС Банк</t>
  </si>
  <si>
    <t xml:space="preserve">МегаФон</t>
  </si>
  <si>
    <t xml:space="preserve">Телеком, B2B и цифровые сервисы; вакансии по регионам</t>
  </si>
  <si>
    <t xml:space="preserve">Билайн</t>
  </si>
  <si>
    <t xml:space="preserve">Вакансии для экспертов →</t>
  </si>
  <si>
    <t xml:space="preserve">Телеком и ИТ; раздел вакансий для экспертов</t>
  </si>
  <si>
    <t xml:space="preserve">Ростелеком</t>
  </si>
  <si>
    <t xml:space="preserve">Работа в Ростелекоме →</t>
  </si>
  <si>
    <t xml:space="preserve">Продажи и обслуживание →</t>
  </si>
  <si>
    <t xml:space="preserve">Телеком, облака, цифровые сервисы для государства и бизнеса</t>
  </si>
  <si>
    <t xml:space="preserve">КЛАССИФАЙДЫ И СЕРВИСЫ</t>
  </si>
  <si>
    <t xml:space="preserve">Авито</t>
  </si>
  <si>
    <t xml:space="preserve">Классифайды и сервисы</t>
  </si>
  <si>
    <t xml:space="preserve">Вакансии разбиты по командам: Услуги, Работа, Товары, Авто, Недвижимость</t>
  </si>
  <si>
    <t xml:space="preserve">Циан</t>
  </si>
  <si>
    <t xml:space="preserve">Сервис недвижимости: продукт, ИТ, продажи</t>
  </si>
  <si>
    <t xml:space="preserve">2ГИС</t>
  </si>
  <si>
    <t xml:space="preserve">Карты и справочник; офисы во многих городах</t>
  </si>
  <si>
    <t xml:space="preserve">B2B SAAS И ОБЛАКА</t>
  </si>
  <si>
    <t xml:space="preserve">СКБ Контур</t>
  </si>
  <si>
    <t xml:space="preserve">B2B SaaS и облака</t>
  </si>
  <si>
    <t xml:space="preserve">Продажи →</t>
  </si>
  <si>
    <t xml:space="preserve">Сервисы для бизнеса; фильтры по направлениям и городам</t>
  </si>
  <si>
    <t xml:space="preserve">Selectel</t>
  </si>
  <si>
    <t xml:space="preserve">Облака и дата-центры, штаб-квартира в Санкт-Петербурге</t>
  </si>
  <si>
    <t xml:space="preserve">КИБЕРБЕЗОПАСНОСТЬ И СОФТ</t>
  </si>
  <si>
    <t xml:space="preserve">Лаборатория Касперского</t>
  </si>
  <si>
    <t xml:space="preserve">Кибербезопасность и софт</t>
  </si>
  <si>
    <t xml:space="preserve">Кибербезопасность: разработка, исследования, продажи</t>
  </si>
  <si>
    <t xml:space="preserve">Positive Technologies</t>
  </si>
  <si>
    <t xml:space="preserve">Кибербезопасность; стажировка PT Start</t>
  </si>
  <si>
    <t xml:space="preserve">Группа Астра</t>
  </si>
  <si>
    <t xml:space="preserve">Системное ПО: Astra Linux и продукты экосистемы</t>
  </si>
  <si>
    <t xml:space="preserve">ИНТЕГРАТОРЫ</t>
  </si>
  <si>
    <t xml:space="preserve">Softline</t>
  </si>
  <si>
    <t xml:space="preserve">Интеграторы</t>
  </si>
  <si>
    <t xml:space="preserve">ИТ-решения и дистрибуция; много вакансий в продажах</t>
  </si>
  <si>
    <t xml:space="preserve">ЛАНИТ</t>
  </si>
  <si>
    <t xml:space="preserve">Группа ИТ-компаний: интеграция, разработка, консалтинг</t>
  </si>
  <si>
    <t xml:space="preserve">Карьерные сайты иногда меняют адреса. Если ссылка не открывается, найдите компанию на hh.ru.</t>
  </si>
  <si>
    <t xml:space="preserve">Мои отклики</t>
  </si>
  <si>
    <t xml:space="preserve">Заполняйте по строке на каждую вакансию. Статус выбирается из списка, сводка справа считается сама.</t>
  </si>
  <si>
    <t xml:space="preserve">Вакансия</t>
  </si>
  <si>
    <t xml:space="preserve">Ссылка</t>
  </si>
  <si>
    <t xml:space="preserve">Источник</t>
  </si>
  <si>
    <t xml:space="preserve">Дата отклика</t>
  </si>
  <si>
    <t xml:space="preserve">Статус</t>
  </si>
  <si>
    <t xml:space="preserve">Следующий шаг</t>
  </si>
  <si>
    <t xml:space="preserve">Дата шага</t>
  </si>
  <si>
    <t xml:space="preserve">Заметки</t>
  </si>
  <si>
    <t xml:space="preserve">Сводка</t>
  </si>
  <si>
    <t xml:space="preserve">Пример: Авито</t>
  </si>
  <si>
    <t xml:space="preserve">Product Manager, Авито Услуги</t>
  </si>
  <si>
    <t xml:space="preserve">https://career.avito.com/vacancies/</t>
  </si>
  <si>
    <t xml:space="preserve">Карьерный сайт</t>
  </si>
  <si>
    <t xml:space="preserve">Отклик отправлен</t>
  </si>
  <si>
    <t xml:space="preserve">Написать рекрутеру в Telegram</t>
  </si>
  <si>
    <t xml:space="preserve">Строку-пример можно удалить</t>
  </si>
  <si>
    <t xml:space="preserve">Всего откликов (без примера)</t>
  </si>
  <si>
    <t xml:space="preserve">Хочу откликнуться</t>
  </si>
  <si>
    <t xml:space="preserve">Связался рекрутер</t>
  </si>
  <si>
    <t xml:space="preserve">Интервью</t>
  </si>
  <si>
    <t xml:space="preserve">Тестовое</t>
  </si>
  <si>
    <t xml:space="preserve">Оффер</t>
  </si>
  <si>
    <t xml:space="preserve">Отказ</t>
  </si>
  <si>
    <t xml:space="preserve">Пауза</t>
  </si>
  <si>
    <t xml:space="preserve">Просрочен следующий шаг</t>
  </si>
  <si>
    <t xml:space="preserve">Агрегаторы вакансий</t>
  </si>
  <si>
    <t xml:space="preserve">Где искать параллельно с карьерными сайтами компаний.</t>
  </si>
  <si>
    <t xml:space="preserve">Сайт</t>
  </si>
  <si>
    <t xml:space="preserve">Чем полезен</t>
  </si>
  <si>
    <t xml:space="preserve">Крупнейший сайт вакансий; можно подписаться на работодателя</t>
  </si>
  <si>
    <t xml:space="preserve">hh.ru →</t>
  </si>
  <si>
    <t xml:space="preserve">Хабр Карьера</t>
  </si>
  <si>
    <t xml:space="preserve">Вакансии ИТ-компаний с зарплатами и фильтром по квалификации</t>
  </si>
  <si>
    <t xml:space="preserve">career.habr.com →</t>
  </si>
  <si>
    <t xml:space="preserve">getmatch</t>
  </si>
  <si>
    <t xml:space="preserve">ИТ-вакансии с вилкой зарплаты в каждом объявлении</t>
  </si>
  <si>
    <t xml:space="preserve">getmatch.ru →</t>
  </si>
  <si>
    <t xml:space="preserve">GeekJob</t>
  </si>
  <si>
    <t xml:space="preserve">ИТ-вакансии и удалённая работа</t>
  </si>
  <si>
    <t xml:space="preserve">geekjob.ru →</t>
  </si>
  <si>
    <t xml:space="preserve">Как пользоваться</t>
  </si>
  <si>
    <t xml:space="preserve">Короткий порядок работы с таблицей.</t>
  </si>
  <si>
    <t xml:space="preserve">Выберите компании</t>
  </si>
  <si>
    <t xml:space="preserve">На листе «Компании» отметьте 10–15 компаний, куда хотите попасть. Начните с разделов, которые совпадают с вашей ролью.</t>
  </si>
  <si>
    <t xml:space="preserve">Подпишитесь на работодателей</t>
  </si>
  <si>
    <t xml:space="preserve">На hh.ru откройте страницу работодателя и включите уведомления о новых вакансиях. Ссылки стоят в колонке «hh.ru».</t>
  </si>
  <si>
    <t xml:space="preserve">Проверяйте карьерные сайты</t>
  </si>
  <si>
    <t xml:space="preserve">Раз в неделю заходите на карьерные сайты из списка: часть вакансий публикуется только там.</t>
  </si>
  <si>
    <t xml:space="preserve">Записывайте каждый отклик</t>
  </si>
  <si>
    <t xml:space="preserve">На листе «Мои отклики» фиксируйте вакансию, статус и следующий шаг с датой. Просроченные шаги подсветятся красным.</t>
  </si>
  <si>
    <t xml:space="preserve">Ищите выход на команду</t>
  </si>
  <si>
    <t xml:space="preserve">Отклик через сайт работает лучше вместе с рекомендацией. Найдите знакомого в компании или нанимающего менеджера и напишите ему напрямую.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</si>
</sst>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211C"/>
      <name val="Arial"/>
      <family val="0"/>
      <charset val="1"/>
    </font>
    <font>
      <sz val="10"/>
      <color rgb="FF6B75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F45FF"/>
      <name val="Arial"/>
      <family val="0"/>
      <charset val="1"/>
    </font>
    <font>
      <b val="true"/>
      <sz val="10"/>
      <color rgb="FF14211C"/>
      <name val="Arial"/>
      <family val="0"/>
      <charset val="1"/>
    </font>
    <font>
      <sz val="9"/>
      <color rgb="FF6B7570"/>
      <name val="Arial"/>
      <family val="0"/>
      <charset val="1"/>
    </font>
    <font>
      <u val="single"/>
      <sz val="10"/>
      <color rgb="FF2F45FF"/>
      <name val="Arial"/>
      <family val="0"/>
      <charset val="1"/>
    </font>
    <font>
      <sz val="10"/>
      <color rgb="FFC4CAC6"/>
      <name val="Arial"/>
      <family val="0"/>
      <charset val="1"/>
    </font>
    <font>
      <i val="true"/>
      <sz val="9"/>
      <color rgb="FF6B7570"/>
      <name val="Arial"/>
      <family val="0"/>
      <charset val="1"/>
    </font>
    <font>
      <i val="true"/>
      <sz val="10"/>
      <color rgb="FF6B7570"/>
      <name val="Arial"/>
      <family val="0"/>
      <charset val="1"/>
    </font>
    <font>
      <sz val="10"/>
      <color rgb="FF14211C"/>
      <name val="Arial"/>
      <family val="0"/>
      <charset val="1"/>
    </font>
    <font>
      <b val="true"/>
      <sz val="16"/>
      <color rgb="FF2F45FF"/>
      <name val="Arial"/>
      <family val="0"/>
      <charset val="1"/>
    </font>
    <font>
      <b val="true"/>
      <sz val="11"/>
      <color rgb="FF14211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1C"/>
        <bgColor rgb="FF333333"/>
      </patternFill>
    </fill>
    <fill>
      <patternFill patternType="solid">
        <fgColor rgb="FFEEF0FF"/>
        <bgColor rgb="FFECEDE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CE8D5"/>
        </patternFill>
      </fill>
    </dxf>
    <dxf>
      <fill>
        <patternFill>
          <bgColor rgb="FFB9E0A5"/>
        </patternFill>
      </fill>
    </dxf>
    <dxf>
      <fill>
        <patternFill>
          <bgColor rgb="FFF4D6D2"/>
        </patternFill>
      </fill>
    </dxf>
    <dxf>
      <fill>
        <patternFill>
          <bgColor rgb="FFE3E7FF"/>
        </patternFill>
      </fill>
    </dxf>
    <dxf>
      <fill>
        <patternFill>
          <bgColor rgb="FFECEDEB"/>
        </patternFill>
      </fill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AC6"/>
      <rgbColor rgb="FF6B7570"/>
      <rgbColor rgb="FF9999FF"/>
      <rgbColor rgb="FF993366"/>
      <rgbColor rgb="FFECEDEB"/>
      <rgbColor rgb="FFEEF0FF"/>
      <rgbColor rgb="FF660066"/>
      <rgbColor rgb="FFFF8080"/>
      <rgbColor rgb="FF0066CC"/>
      <rgbColor rgb="FFD9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7FF"/>
      <rgbColor rgb="FFDCE8D5"/>
      <rgbColor rgb="FFFFFF99"/>
      <rgbColor rgb="FFB9E0A5"/>
      <rgbColor rgb="FFFF99CC"/>
      <rgbColor rgb="FFCC99FF"/>
      <rgbColor rgb="FFF4D6D2"/>
      <rgbColor rgb="FF2F45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211C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andex.ru/jobs/vacancies" TargetMode="External"/><Relationship Id="rId2" Type="http://schemas.openxmlformats.org/officeDocument/2006/relationships/hyperlink" Target="https://yandex.ru/jobs/professions/bis-dev-manager" TargetMode="External"/><Relationship Id="rId3" Type="http://schemas.openxmlformats.org/officeDocument/2006/relationships/hyperlink" Target="https://hh.ru/employer/1740" TargetMode="External"/><Relationship Id="rId4" Type="http://schemas.openxmlformats.org/officeDocument/2006/relationships/hyperlink" Target="https://rabota.sber.ru/search/" TargetMode="External"/><Relationship Id="rId5" Type="http://schemas.openxmlformats.org/officeDocument/2006/relationships/hyperlink" Target="https://rabota.sber.ru/professionally/" TargetMode="External"/><Relationship Id="rId6" Type="http://schemas.openxmlformats.org/officeDocument/2006/relationships/hyperlink" Target="https://hh.ru/employer/3529" TargetMode="External"/><Relationship Id="rId7" Type="http://schemas.openxmlformats.org/officeDocument/2006/relationships/hyperlink" Target="https://team.vk.company/vacancy/" TargetMode="External"/><Relationship Id="rId8" Type="http://schemas.openxmlformats.org/officeDocument/2006/relationships/hyperlink" Target="https://team.vk.company/vacancy/?specialty=282" TargetMode="External"/><Relationship Id="rId9" Type="http://schemas.openxmlformats.org/officeDocument/2006/relationships/hyperlink" Target="https://team.vk.company/vacancy/?specialty=263" TargetMode="External"/><Relationship Id="rId10" Type="http://schemas.openxmlformats.org/officeDocument/2006/relationships/hyperlink" Target="https://team.vk.company/vacancy/?remote=true" TargetMode="External"/><Relationship Id="rId11" Type="http://schemas.openxmlformats.org/officeDocument/2006/relationships/hyperlink" Target="https://hh.ru/employer/15478" TargetMode="External"/><Relationship Id="rId12" Type="http://schemas.openxmlformats.org/officeDocument/2006/relationships/hyperlink" Target="https://career.ozon.ru/vacancy/" TargetMode="External"/><Relationship Id="rId13" Type="http://schemas.openxmlformats.org/officeDocument/2006/relationships/hyperlink" Target="https://career.ozon.ru/vacancy/programmist-razrabotchik/" TargetMode="External"/><Relationship Id="rId14" Type="http://schemas.openxmlformats.org/officeDocument/2006/relationships/hyperlink" Target="https://career.ozon.ru/fintech/vacancies" TargetMode="External"/><Relationship Id="rId15" Type="http://schemas.openxmlformats.org/officeDocument/2006/relationships/hyperlink" Target="https://hh.ru/employer/2180" TargetMode="External"/><Relationship Id="rId16" Type="http://schemas.openxmlformats.org/officeDocument/2006/relationships/hyperlink" Target="https://career.rwb.ru/" TargetMode="External"/><Relationship Id="rId17" Type="http://schemas.openxmlformats.org/officeDocument/2006/relationships/hyperlink" Target="https://career.rwb.ru/intern" TargetMode="External"/><Relationship Id="rId18" Type="http://schemas.openxmlformats.org/officeDocument/2006/relationships/hyperlink" Target="https://hh.ru/employer/87021" TargetMode="External"/><Relationship Id="rId19" Type="http://schemas.openxmlformats.org/officeDocument/2006/relationships/hyperlink" Target="https://rabota.x5.ru/" TargetMode="External"/><Relationship Id="rId20" Type="http://schemas.openxmlformats.org/officeDocument/2006/relationships/hyperlink" Target="https://techcrew.start.x5.ru/" TargetMode="External"/><Relationship Id="rId21" Type="http://schemas.openxmlformats.org/officeDocument/2006/relationships/hyperlink" Target="https://hh.ru/employer/4233" TargetMode="External"/><Relationship Id="rId22" Type="http://schemas.openxmlformats.org/officeDocument/2006/relationships/hyperlink" Target="https://samokat.tech/vacancies" TargetMode="External"/><Relationship Id="rId23" Type="http://schemas.openxmlformats.org/officeDocument/2006/relationships/hyperlink" Target="https://vacancy.samokat.ru/vacancies-business" TargetMode="External"/><Relationship Id="rId24" Type="http://schemas.openxmlformats.org/officeDocument/2006/relationships/hyperlink" Target="https://hh.ru/search/vacancy?text=&#1057;&#1072;&#1084;&#1086;&#1082;&#1072;&#1090;+%28ecom.tech%29" TargetMode="External"/><Relationship Id="rId25" Type="http://schemas.openxmlformats.org/officeDocument/2006/relationships/hyperlink" Target="https://job.lamoda.ru/" TargetMode="External"/><Relationship Id="rId26" Type="http://schemas.openxmlformats.org/officeDocument/2006/relationships/hyperlink" Target="https://hh.ru/search/vacancy?text=Lamoda" TargetMode="External"/><Relationship Id="rId27" Type="http://schemas.openxmlformats.org/officeDocument/2006/relationships/hyperlink" Target="https://www.tbank.ru/career/" TargetMode="External"/><Relationship Id="rId28" Type="http://schemas.openxmlformats.org/officeDocument/2006/relationships/hyperlink" Target="https://www.tbank.ru/career/it/about/" TargetMode="External"/><Relationship Id="rId29" Type="http://schemas.openxmlformats.org/officeDocument/2006/relationships/hyperlink" Target="https://www.tbank.ru/career/vacancies/back-office/" TargetMode="External"/><Relationship Id="rId30" Type="http://schemas.openxmlformats.org/officeDocument/2006/relationships/hyperlink" Target="https://hh.ru/employer/78638" TargetMode="External"/><Relationship Id="rId31" Type="http://schemas.openxmlformats.org/officeDocument/2006/relationships/hyperlink" Target="https://digital.alfabank.ru/vacancies" TargetMode="External"/><Relationship Id="rId32" Type="http://schemas.openxmlformats.org/officeDocument/2006/relationships/hyperlink" Target="https://job.alfabank.ru/vacancies/remotework" TargetMode="External"/><Relationship Id="rId33" Type="http://schemas.openxmlformats.org/officeDocument/2006/relationships/hyperlink" Target="https://hh.ru/employer/80" TargetMode="External"/><Relationship Id="rId34" Type="http://schemas.openxmlformats.org/officeDocument/2006/relationships/hyperlink" Target="https://rabota.vtb.ru/" TargetMode="External"/><Relationship Id="rId35" Type="http://schemas.openxmlformats.org/officeDocument/2006/relationships/hyperlink" Target="https://rabota.vtb.ru/career-it/" TargetMode="External"/><Relationship Id="rId36" Type="http://schemas.openxmlformats.org/officeDocument/2006/relationships/hyperlink" Target="https://rabota.vtb.ru/internship/vtb-yunior/" TargetMode="External"/><Relationship Id="rId37" Type="http://schemas.openxmlformats.org/officeDocument/2006/relationships/hyperlink" Target="https://hh.ru/employer/4181" TargetMode="External"/><Relationship Id="rId38" Type="http://schemas.openxmlformats.org/officeDocument/2006/relationships/hyperlink" Target="https://www.gazprombank.ru/vacancy/" TargetMode="External"/><Relationship Id="rId39" Type="http://schemas.openxmlformats.org/officeDocument/2006/relationships/hyperlink" Target="https://hh.ru/search/vacancy?text=&#1043;&#1072;&#1079;&#1087;&#1088;&#1086;&#1084;&#1073;&#1072;&#1085;&#1082;" TargetMode="External"/><Relationship Id="rId40" Type="http://schemas.openxmlformats.org/officeDocument/2006/relationships/hyperlink" Target="https://people.sovcombank.ru/vacancies" TargetMode="External"/><Relationship Id="rId41" Type="http://schemas.openxmlformats.org/officeDocument/2006/relationships/hyperlink" Target="https://hh.ru/search/vacancy?text=&#1057;&#1086;&#1074;&#1082;&#1086;&#1084;&#1073;&#1072;&#1085;&#1082;" TargetMode="External"/><Relationship Id="rId42" Type="http://schemas.openxmlformats.org/officeDocument/2006/relationships/hyperlink" Target="https://hr.tochka.com/vacancies/remote-work/" TargetMode="External"/><Relationship Id="rId43" Type="http://schemas.openxmlformats.org/officeDocument/2006/relationships/hyperlink" Target="https://hh.ru/search/vacancy?text=&#1058;&#1086;&#1095;&#1082;&#1072;" TargetMode="External"/><Relationship Id="rId44" Type="http://schemas.openxmlformats.org/officeDocument/2006/relationships/hyperlink" Target="https://job.mts.ru/vacancies" TargetMode="External"/><Relationship Id="rId45" Type="http://schemas.openxmlformats.org/officeDocument/2006/relationships/hyperlink" Target="https://job.mts.ru/programs" TargetMode="External"/><Relationship Id="rId46" Type="http://schemas.openxmlformats.org/officeDocument/2006/relationships/hyperlink" Target="https://hh.ru/employer/3776" TargetMode="External"/><Relationship Id="rId47" Type="http://schemas.openxmlformats.org/officeDocument/2006/relationships/hyperlink" Target="https://job.megafon.ru/" TargetMode="External"/><Relationship Id="rId48" Type="http://schemas.openxmlformats.org/officeDocument/2006/relationships/hyperlink" Target="https://hh.ru/employer/3127" TargetMode="External"/><Relationship Id="rId49" Type="http://schemas.openxmlformats.org/officeDocument/2006/relationships/hyperlink" Target="https://job.beeline.ru/job-specialists/all/" TargetMode="External"/><Relationship Id="rId50" Type="http://schemas.openxmlformats.org/officeDocument/2006/relationships/hyperlink" Target="https://hh.ru/employer/4934" TargetMode="External"/><Relationship Id="rId51" Type="http://schemas.openxmlformats.org/officeDocument/2006/relationships/hyperlink" Target="https://job.rt.ru/" TargetMode="External"/><Relationship Id="rId52" Type="http://schemas.openxmlformats.org/officeDocument/2006/relationships/hyperlink" Target="https://www.company.rt.ru/career/vacancy/d1357/" TargetMode="External"/><Relationship Id="rId53" Type="http://schemas.openxmlformats.org/officeDocument/2006/relationships/hyperlink" Target="https://hh.ru/employer/2748" TargetMode="External"/><Relationship Id="rId54" Type="http://schemas.openxmlformats.org/officeDocument/2006/relationships/hyperlink" Target="https://career.avito.com/vacancies/" TargetMode="External"/><Relationship Id="rId55" Type="http://schemas.openxmlformats.org/officeDocument/2006/relationships/hyperlink" Target="https://career.avito.com/directions/developer/" TargetMode="External"/><Relationship Id="rId56" Type="http://schemas.openxmlformats.org/officeDocument/2006/relationships/hyperlink" Target="https://hh.ru/employer/84585" TargetMode="External"/><Relationship Id="rId57" Type="http://schemas.openxmlformats.org/officeDocument/2006/relationships/hyperlink" Target="https://www.cian.ru/vacancies/" TargetMode="External"/><Relationship Id="rId58" Type="http://schemas.openxmlformats.org/officeDocument/2006/relationships/hyperlink" Target="https://hh.ru/search/vacancy?text=&#1062;&#1080;&#1072;&#1085;" TargetMode="External"/><Relationship Id="rId59" Type="http://schemas.openxmlformats.org/officeDocument/2006/relationships/hyperlink" Target="https://job.2gis.ru/vacancies" TargetMode="External"/><Relationship Id="rId60" Type="http://schemas.openxmlformats.org/officeDocument/2006/relationships/hyperlink" Target="https://hh.ru/employer/64174" TargetMode="External"/><Relationship Id="rId61" Type="http://schemas.openxmlformats.org/officeDocument/2006/relationships/hyperlink" Target="https://kontur.ru/career/vacancies" TargetMode="External"/><Relationship Id="rId62" Type="http://schemas.openxmlformats.org/officeDocument/2006/relationships/hyperlink" Target="https://kontur.ru/career/vacancies?direction=sales" TargetMode="External"/><Relationship Id="rId63" Type="http://schemas.openxmlformats.org/officeDocument/2006/relationships/hyperlink" Target="https://hh.ru/employer/41862" TargetMode="External"/><Relationship Id="rId64" Type="http://schemas.openxmlformats.org/officeDocument/2006/relationships/hyperlink" Target="https://selectel.ru/careers/all/" TargetMode="External"/><Relationship Id="rId65" Type="http://schemas.openxmlformats.org/officeDocument/2006/relationships/hyperlink" Target="https://careers.selectel.ru/page555" TargetMode="External"/><Relationship Id="rId66" Type="http://schemas.openxmlformats.org/officeDocument/2006/relationships/hyperlink" Target="https://selectel.ru/careers/internships/" TargetMode="External"/><Relationship Id="rId67" Type="http://schemas.openxmlformats.org/officeDocument/2006/relationships/hyperlink" Target="https://hh.ru/search/vacancy?text=Selectel" TargetMode="External"/><Relationship Id="rId68" Type="http://schemas.openxmlformats.org/officeDocument/2006/relationships/hyperlink" Target="https://careers.kaspersky.ru/vacancies" TargetMode="External"/><Relationship Id="rId69" Type="http://schemas.openxmlformats.org/officeDocument/2006/relationships/hyperlink" Target="https://hh.ru/employer/1057" TargetMode="External"/><Relationship Id="rId70" Type="http://schemas.openxmlformats.org/officeDocument/2006/relationships/hyperlink" Target="https://ptsecurity.com/about/vacancy/" TargetMode="External"/><Relationship Id="rId71" Type="http://schemas.openxmlformats.org/officeDocument/2006/relationships/hyperlink" Target="https://internship.ptsecurity.com/" TargetMode="External"/><Relationship Id="rId72" Type="http://schemas.openxmlformats.org/officeDocument/2006/relationships/hyperlink" Target="https://hh.ru/search/vacancy?text=Positive+Technologies" TargetMode="External"/><Relationship Id="rId73" Type="http://schemas.openxmlformats.org/officeDocument/2006/relationships/hyperlink" Target="https://astra.ru/about/career/vacancies/" TargetMode="External"/><Relationship Id="rId74" Type="http://schemas.openxmlformats.org/officeDocument/2006/relationships/hyperlink" Target="https://hh.ru/search/vacancy?text=&#1043;&#1088;&#1091;&#1087;&#1087;&#1072;+&#1040;&#1089;&#1090;&#1088;&#1072;" TargetMode="External"/><Relationship Id="rId75" Type="http://schemas.openxmlformats.org/officeDocument/2006/relationships/hyperlink" Target="https://softline.ru/about/vacancies" TargetMode="External"/><Relationship Id="rId76" Type="http://schemas.openxmlformats.org/officeDocument/2006/relationships/hyperlink" Target="https://hh.ru/search/vacancy?text=Softline" TargetMode="External"/><Relationship Id="rId77" Type="http://schemas.openxmlformats.org/officeDocument/2006/relationships/hyperlink" Target="https://job.lanit.ru/" TargetMode="External"/><Relationship Id="rId78" Type="http://schemas.openxmlformats.org/officeDocument/2006/relationships/hyperlink" Target="https://hh.ru/search/vacancy?text=&#1051;&#1040;&#1053;&#1048;&#1058;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h.ru/" TargetMode="External"/><Relationship Id="rId2" Type="http://schemas.openxmlformats.org/officeDocument/2006/relationships/hyperlink" Target="https://career.habr.com/vacancies" TargetMode="External"/><Relationship Id="rId3" Type="http://schemas.openxmlformats.org/officeDocument/2006/relationships/hyperlink" Target="https://getmatch.ru/" TargetMode="External"/><Relationship Id="rId4" Type="http://schemas.openxmlformats.org/officeDocument/2006/relationships/hyperlink" Target="https://geekjob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52"/>
  </cols>
  <sheetData>
    <row r="2" customFormat="false" ht="30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customFormat="false" ht="19.5" hidden="false" customHeight="true" outlineLevel="0" collapsed="false">
      <c r="B6" s="4" t="s">
        <v>11</v>
      </c>
      <c r="C6" s="5"/>
      <c r="D6" s="5"/>
      <c r="E6" s="5"/>
      <c r="F6" s="5"/>
      <c r="G6" s="5"/>
      <c r="H6" s="5"/>
      <c r="I6" s="5"/>
      <c r="J6" s="5"/>
    </row>
    <row r="7" customFormat="false" ht="33.75" hidden="false" customHeight="true" outlineLevel="0" collapsed="false">
      <c r="B7" s="6" t="s">
        <v>12</v>
      </c>
      <c r="C7" s="7" t="s">
        <v>13</v>
      </c>
      <c r="D7" s="8" t="s">
        <v>14</v>
      </c>
      <c r="E7" s="9" t="s">
        <v>15</v>
      </c>
      <c r="F7" s="8" t="s">
        <v>16</v>
      </c>
      <c r="G7" s="9" t="s">
        <v>15</v>
      </c>
      <c r="H7" s="9" t="s">
        <v>15</v>
      </c>
      <c r="I7" s="8" t="s">
        <v>17</v>
      </c>
      <c r="J7" s="7" t="s">
        <v>18</v>
      </c>
    </row>
    <row r="8" customFormat="false" ht="33.75" hidden="false" customHeight="true" outlineLevel="0" collapsed="false">
      <c r="B8" s="6" t="s">
        <v>19</v>
      </c>
      <c r="C8" s="7" t="s">
        <v>13</v>
      </c>
      <c r="D8" s="8" t="s">
        <v>20</v>
      </c>
      <c r="E8" s="9" t="s">
        <v>15</v>
      </c>
      <c r="F8" s="8" t="s">
        <v>21</v>
      </c>
      <c r="G8" s="9" t="s">
        <v>15</v>
      </c>
      <c r="H8" s="9" t="s">
        <v>15</v>
      </c>
      <c r="I8" s="8" t="s">
        <v>17</v>
      </c>
      <c r="J8" s="7" t="s">
        <v>22</v>
      </c>
    </row>
    <row r="9" customFormat="false" ht="33.75" hidden="false" customHeight="true" outlineLevel="0" collapsed="false">
      <c r="B9" s="6" t="s">
        <v>23</v>
      </c>
      <c r="C9" s="7" t="s">
        <v>13</v>
      </c>
      <c r="D9" s="8" t="s">
        <v>14</v>
      </c>
      <c r="E9" s="8" t="s">
        <v>24</v>
      </c>
      <c r="F9" s="8" t="s">
        <v>25</v>
      </c>
      <c r="G9" s="9" t="s">
        <v>15</v>
      </c>
      <c r="H9" s="8" t="s">
        <v>26</v>
      </c>
      <c r="I9" s="8" t="s">
        <v>17</v>
      </c>
      <c r="J9" s="7" t="s">
        <v>27</v>
      </c>
    </row>
    <row r="10" customFormat="false" ht="19.5" hidden="false" customHeight="true" outlineLevel="0" collapsed="false">
      <c r="B10" s="4" t="s">
        <v>28</v>
      </c>
      <c r="C10" s="5"/>
      <c r="D10" s="5"/>
      <c r="E10" s="5"/>
      <c r="F10" s="5"/>
      <c r="G10" s="5"/>
      <c r="H10" s="5"/>
      <c r="I10" s="5"/>
      <c r="J10" s="5"/>
    </row>
    <row r="11" customFormat="false" ht="33.75" hidden="false" customHeight="true" outlineLevel="0" collapsed="false">
      <c r="B11" s="6" t="s">
        <v>29</v>
      </c>
      <c r="C11" s="7" t="s">
        <v>30</v>
      </c>
      <c r="D11" s="8" t="s">
        <v>14</v>
      </c>
      <c r="E11" s="8" t="s">
        <v>31</v>
      </c>
      <c r="F11" s="8" t="s">
        <v>32</v>
      </c>
      <c r="G11" s="9" t="s">
        <v>15</v>
      </c>
      <c r="H11" s="9" t="s">
        <v>15</v>
      </c>
      <c r="I11" s="8" t="s">
        <v>17</v>
      </c>
      <c r="J11" s="7" t="s">
        <v>33</v>
      </c>
    </row>
    <row r="12" customFormat="false" ht="33.75" hidden="false" customHeight="true" outlineLevel="0" collapsed="false">
      <c r="B12" s="6" t="s">
        <v>34</v>
      </c>
      <c r="C12" s="7" t="s">
        <v>30</v>
      </c>
      <c r="D12" s="8" t="s">
        <v>35</v>
      </c>
      <c r="E12" s="9" t="s">
        <v>15</v>
      </c>
      <c r="F12" s="9" t="s">
        <v>15</v>
      </c>
      <c r="G12" s="8" t="s">
        <v>36</v>
      </c>
      <c r="H12" s="9" t="s">
        <v>15</v>
      </c>
      <c r="I12" s="8" t="s">
        <v>17</v>
      </c>
      <c r="J12" s="7" t="s">
        <v>37</v>
      </c>
    </row>
    <row r="13" customFormat="false" ht="33.75" hidden="false" customHeight="true" outlineLevel="0" collapsed="false">
      <c r="B13" s="6" t="s">
        <v>38</v>
      </c>
      <c r="C13" s="7" t="s">
        <v>30</v>
      </c>
      <c r="D13" s="8" t="s">
        <v>39</v>
      </c>
      <c r="E13" s="8" t="s">
        <v>40</v>
      </c>
      <c r="F13" s="9" t="s">
        <v>15</v>
      </c>
      <c r="G13" s="9" t="s">
        <v>15</v>
      </c>
      <c r="H13" s="9" t="s">
        <v>15</v>
      </c>
      <c r="I13" s="8" t="s">
        <v>17</v>
      </c>
      <c r="J13" s="7" t="s">
        <v>41</v>
      </c>
    </row>
    <row r="14" customFormat="false" ht="33.75" hidden="false" customHeight="true" outlineLevel="0" collapsed="false">
      <c r="B14" s="6" t="s">
        <v>42</v>
      </c>
      <c r="C14" s="7" t="s">
        <v>30</v>
      </c>
      <c r="D14" s="9" t="s">
        <v>15</v>
      </c>
      <c r="E14" s="8" t="s">
        <v>43</v>
      </c>
      <c r="F14" s="8" t="s">
        <v>44</v>
      </c>
      <c r="G14" s="9" t="s">
        <v>15</v>
      </c>
      <c r="H14" s="9" t="s">
        <v>15</v>
      </c>
      <c r="I14" s="8" t="s">
        <v>45</v>
      </c>
      <c r="J14" s="7" t="s">
        <v>46</v>
      </c>
    </row>
    <row r="15" customFormat="false" ht="33.75" hidden="false" customHeight="true" outlineLevel="0" collapsed="false">
      <c r="B15" s="6" t="s">
        <v>47</v>
      </c>
      <c r="C15" s="7" t="s">
        <v>30</v>
      </c>
      <c r="D15" s="8" t="s">
        <v>48</v>
      </c>
      <c r="E15" s="9" t="s">
        <v>15</v>
      </c>
      <c r="F15" s="9" t="s">
        <v>15</v>
      </c>
      <c r="G15" s="9" t="s">
        <v>15</v>
      </c>
      <c r="H15" s="9" t="s">
        <v>15</v>
      </c>
      <c r="I15" s="8" t="s">
        <v>45</v>
      </c>
      <c r="J15" s="7" t="s">
        <v>49</v>
      </c>
    </row>
    <row r="16" customFormat="false" ht="19.5" hidden="false" customHeight="true" outlineLevel="0" collapsed="false">
      <c r="B16" s="4" t="s">
        <v>50</v>
      </c>
      <c r="C16" s="5"/>
      <c r="D16" s="5"/>
      <c r="E16" s="5"/>
      <c r="F16" s="5"/>
      <c r="G16" s="5"/>
      <c r="H16" s="5"/>
      <c r="I16" s="5"/>
      <c r="J16" s="5"/>
    </row>
    <row r="17" customFormat="false" ht="33.75" hidden="false" customHeight="true" outlineLevel="0" collapsed="false">
      <c r="B17" s="6" t="s">
        <v>51</v>
      </c>
      <c r="C17" s="7" t="s">
        <v>52</v>
      </c>
      <c r="D17" s="8" t="s">
        <v>35</v>
      </c>
      <c r="E17" s="8" t="s">
        <v>53</v>
      </c>
      <c r="F17" s="8" t="s">
        <v>54</v>
      </c>
      <c r="G17" s="9" t="s">
        <v>15</v>
      </c>
      <c r="H17" s="9" t="s">
        <v>15</v>
      </c>
      <c r="I17" s="8" t="s">
        <v>17</v>
      </c>
      <c r="J17" s="7" t="s">
        <v>55</v>
      </c>
    </row>
    <row r="18" customFormat="false" ht="33.75" hidden="false" customHeight="true" outlineLevel="0" collapsed="false">
      <c r="B18" s="6" t="s">
        <v>56</v>
      </c>
      <c r="C18" s="7" t="s">
        <v>52</v>
      </c>
      <c r="D18" s="9" t="s">
        <v>15</v>
      </c>
      <c r="E18" s="8" t="s">
        <v>57</v>
      </c>
      <c r="F18" s="9" t="s">
        <v>15</v>
      </c>
      <c r="G18" s="9" t="s">
        <v>15</v>
      </c>
      <c r="H18" s="8" t="s">
        <v>26</v>
      </c>
      <c r="I18" s="8" t="s">
        <v>17</v>
      </c>
      <c r="J18" s="7" t="s">
        <v>58</v>
      </c>
    </row>
    <row r="19" customFormat="false" ht="33.75" hidden="false" customHeight="true" outlineLevel="0" collapsed="false">
      <c r="B19" s="6" t="s">
        <v>59</v>
      </c>
      <c r="C19" s="7" t="s">
        <v>52</v>
      </c>
      <c r="D19" s="8" t="s">
        <v>35</v>
      </c>
      <c r="E19" s="8" t="s">
        <v>60</v>
      </c>
      <c r="F19" s="9" t="s">
        <v>15</v>
      </c>
      <c r="G19" s="8" t="s">
        <v>61</v>
      </c>
      <c r="H19" s="9" t="s">
        <v>15</v>
      </c>
      <c r="I19" s="8" t="s">
        <v>17</v>
      </c>
      <c r="J19" s="7" t="s">
        <v>62</v>
      </c>
    </row>
    <row r="20" customFormat="false" ht="33.75" hidden="false" customHeight="true" outlineLevel="0" collapsed="false">
      <c r="B20" s="6" t="s">
        <v>63</v>
      </c>
      <c r="C20" s="7" t="s">
        <v>52</v>
      </c>
      <c r="D20" s="8" t="s">
        <v>64</v>
      </c>
      <c r="E20" s="9" t="s">
        <v>15</v>
      </c>
      <c r="F20" s="9" t="s">
        <v>15</v>
      </c>
      <c r="G20" s="9" t="s">
        <v>15</v>
      </c>
      <c r="H20" s="9" t="s">
        <v>15</v>
      </c>
      <c r="I20" s="8" t="s">
        <v>45</v>
      </c>
      <c r="J20" s="7" t="s">
        <v>65</v>
      </c>
    </row>
    <row r="21" customFormat="false" ht="33.75" hidden="false" customHeight="true" outlineLevel="0" collapsed="false">
      <c r="B21" s="6" t="s">
        <v>66</v>
      </c>
      <c r="C21" s="7" t="s">
        <v>52</v>
      </c>
      <c r="D21" s="8" t="s">
        <v>64</v>
      </c>
      <c r="E21" s="9" t="s">
        <v>15</v>
      </c>
      <c r="F21" s="9" t="s">
        <v>15</v>
      </c>
      <c r="G21" s="9" t="s">
        <v>15</v>
      </c>
      <c r="H21" s="9" t="s">
        <v>15</v>
      </c>
      <c r="I21" s="8" t="s">
        <v>45</v>
      </c>
      <c r="J21" s="7" t="s">
        <v>67</v>
      </c>
    </row>
    <row r="22" customFormat="false" ht="33.75" hidden="false" customHeight="true" outlineLevel="0" collapsed="false">
      <c r="B22" s="6" t="s">
        <v>68</v>
      </c>
      <c r="C22" s="7" t="s">
        <v>52</v>
      </c>
      <c r="D22" s="9" t="s">
        <v>15</v>
      </c>
      <c r="E22" s="9" t="s">
        <v>15</v>
      </c>
      <c r="F22" s="9" t="s">
        <v>15</v>
      </c>
      <c r="G22" s="9" t="s">
        <v>15</v>
      </c>
      <c r="H22" s="8" t="s">
        <v>69</v>
      </c>
      <c r="I22" s="8" t="s">
        <v>45</v>
      </c>
      <c r="J22" s="7" t="s">
        <v>70</v>
      </c>
    </row>
    <row r="23" customFormat="false" ht="19.5" hidden="false" customHeight="true" outlineLevel="0" collapsed="false">
      <c r="B23" s="4" t="s">
        <v>71</v>
      </c>
      <c r="C23" s="5"/>
      <c r="D23" s="5"/>
      <c r="E23" s="5"/>
      <c r="F23" s="5"/>
      <c r="G23" s="5"/>
      <c r="H23" s="5"/>
      <c r="I23" s="5"/>
      <c r="J23" s="5"/>
    </row>
    <row r="24" customFormat="false" ht="33.75" hidden="false" customHeight="true" outlineLevel="0" collapsed="false">
      <c r="B24" s="6" t="s">
        <v>72</v>
      </c>
      <c r="C24" s="7" t="s">
        <v>73</v>
      </c>
      <c r="D24" s="8" t="s">
        <v>14</v>
      </c>
      <c r="E24" s="9" t="s">
        <v>15</v>
      </c>
      <c r="F24" s="9" t="s">
        <v>15</v>
      </c>
      <c r="G24" s="8" t="s">
        <v>36</v>
      </c>
      <c r="H24" s="9" t="s">
        <v>15</v>
      </c>
      <c r="I24" s="8" t="s">
        <v>17</v>
      </c>
      <c r="J24" s="7" t="s">
        <v>74</v>
      </c>
    </row>
    <row r="25" customFormat="false" ht="33.75" hidden="false" customHeight="true" outlineLevel="0" collapsed="false">
      <c r="B25" s="6" t="s">
        <v>75</v>
      </c>
      <c r="C25" s="7" t="s">
        <v>73</v>
      </c>
      <c r="D25" s="8" t="s">
        <v>64</v>
      </c>
      <c r="E25" s="9" t="s">
        <v>15</v>
      </c>
      <c r="F25" s="9" t="s">
        <v>15</v>
      </c>
      <c r="G25" s="9" t="s">
        <v>15</v>
      </c>
      <c r="H25" s="9" t="s">
        <v>15</v>
      </c>
      <c r="I25" s="8" t="s">
        <v>17</v>
      </c>
      <c r="J25" s="7" t="s">
        <v>76</v>
      </c>
    </row>
    <row r="26" customFormat="false" ht="33.75" hidden="false" customHeight="true" outlineLevel="0" collapsed="false">
      <c r="B26" s="6" t="s">
        <v>77</v>
      </c>
      <c r="C26" s="7" t="s">
        <v>73</v>
      </c>
      <c r="D26" s="8" t="s">
        <v>78</v>
      </c>
      <c r="E26" s="9" t="s">
        <v>15</v>
      </c>
      <c r="F26" s="9" t="s">
        <v>15</v>
      </c>
      <c r="G26" s="9" t="s">
        <v>15</v>
      </c>
      <c r="H26" s="9" t="s">
        <v>15</v>
      </c>
      <c r="I26" s="8" t="s">
        <v>17</v>
      </c>
      <c r="J26" s="7" t="s">
        <v>79</v>
      </c>
    </row>
    <row r="27" customFormat="false" ht="33.75" hidden="false" customHeight="true" outlineLevel="0" collapsed="false">
      <c r="B27" s="6" t="s">
        <v>80</v>
      </c>
      <c r="C27" s="7" t="s">
        <v>73</v>
      </c>
      <c r="D27" s="8" t="s">
        <v>81</v>
      </c>
      <c r="E27" s="9" t="s">
        <v>15</v>
      </c>
      <c r="F27" s="8" t="s">
        <v>82</v>
      </c>
      <c r="G27" s="9" t="s">
        <v>15</v>
      </c>
      <c r="H27" s="9" t="s">
        <v>15</v>
      </c>
      <c r="I27" s="8" t="s">
        <v>17</v>
      </c>
      <c r="J27" s="7" t="s">
        <v>83</v>
      </c>
    </row>
    <row r="28" customFormat="false" ht="19.5" hidden="false" customHeight="true" outlineLevel="0" collapsed="false">
      <c r="B28" s="4" t="s">
        <v>84</v>
      </c>
      <c r="C28" s="5"/>
      <c r="D28" s="5"/>
      <c r="E28" s="5"/>
      <c r="F28" s="5"/>
      <c r="G28" s="5"/>
      <c r="H28" s="5"/>
      <c r="I28" s="5"/>
      <c r="J28" s="5"/>
    </row>
    <row r="29" customFormat="false" ht="33.75" hidden="false" customHeight="true" outlineLevel="0" collapsed="false">
      <c r="B29" s="6" t="s">
        <v>85</v>
      </c>
      <c r="C29" s="7" t="s">
        <v>86</v>
      </c>
      <c r="D29" s="8" t="s">
        <v>14</v>
      </c>
      <c r="E29" s="8" t="s">
        <v>31</v>
      </c>
      <c r="F29" s="9" t="s">
        <v>15</v>
      </c>
      <c r="G29" s="9" t="s">
        <v>15</v>
      </c>
      <c r="H29" s="9" t="s">
        <v>15</v>
      </c>
      <c r="I29" s="8" t="s">
        <v>17</v>
      </c>
      <c r="J29" s="7" t="s">
        <v>87</v>
      </c>
    </row>
    <row r="30" customFormat="false" ht="33.75" hidden="false" customHeight="true" outlineLevel="0" collapsed="false">
      <c r="B30" s="6" t="s">
        <v>88</v>
      </c>
      <c r="C30" s="7" t="s">
        <v>86</v>
      </c>
      <c r="D30" s="8" t="s">
        <v>64</v>
      </c>
      <c r="E30" s="9" t="s">
        <v>15</v>
      </c>
      <c r="F30" s="9" t="s">
        <v>15</v>
      </c>
      <c r="G30" s="9" t="s">
        <v>15</v>
      </c>
      <c r="H30" s="9" t="s">
        <v>15</v>
      </c>
      <c r="I30" s="8" t="s">
        <v>45</v>
      </c>
      <c r="J30" s="7" t="s">
        <v>89</v>
      </c>
    </row>
    <row r="31" customFormat="false" ht="33.75" hidden="false" customHeight="true" outlineLevel="0" collapsed="false">
      <c r="B31" s="6" t="s">
        <v>90</v>
      </c>
      <c r="C31" s="7" t="s">
        <v>86</v>
      </c>
      <c r="D31" s="8" t="s">
        <v>64</v>
      </c>
      <c r="E31" s="9" t="s">
        <v>15</v>
      </c>
      <c r="F31" s="9" t="s">
        <v>15</v>
      </c>
      <c r="G31" s="9" t="s">
        <v>15</v>
      </c>
      <c r="H31" s="9" t="s">
        <v>15</v>
      </c>
      <c r="I31" s="8" t="s">
        <v>17</v>
      </c>
      <c r="J31" s="7" t="s">
        <v>91</v>
      </c>
    </row>
    <row r="32" customFormat="false" ht="19.5" hidden="false" customHeight="true" outlineLevel="0" collapsed="false">
      <c r="B32" s="4" t="s">
        <v>92</v>
      </c>
      <c r="C32" s="5"/>
      <c r="D32" s="5"/>
      <c r="E32" s="5"/>
      <c r="F32" s="5"/>
      <c r="G32" s="5"/>
      <c r="H32" s="5"/>
      <c r="I32" s="5"/>
      <c r="J32" s="5"/>
    </row>
    <row r="33" customFormat="false" ht="33.75" hidden="false" customHeight="true" outlineLevel="0" collapsed="false">
      <c r="B33" s="6" t="s">
        <v>93</v>
      </c>
      <c r="C33" s="7" t="s">
        <v>94</v>
      </c>
      <c r="D33" s="8" t="s">
        <v>64</v>
      </c>
      <c r="E33" s="9" t="s">
        <v>15</v>
      </c>
      <c r="F33" s="8" t="s">
        <v>95</v>
      </c>
      <c r="G33" s="9" t="s">
        <v>15</v>
      </c>
      <c r="H33" s="9" t="s">
        <v>15</v>
      </c>
      <c r="I33" s="8" t="s">
        <v>17</v>
      </c>
      <c r="J33" s="7" t="s">
        <v>96</v>
      </c>
    </row>
    <row r="34" customFormat="false" ht="33.75" hidden="false" customHeight="true" outlineLevel="0" collapsed="false">
      <c r="B34" s="6" t="s">
        <v>97</v>
      </c>
      <c r="C34" s="7" t="s">
        <v>94</v>
      </c>
      <c r="D34" s="8" t="s">
        <v>64</v>
      </c>
      <c r="E34" s="9" t="s">
        <v>15</v>
      </c>
      <c r="F34" s="8" t="s">
        <v>95</v>
      </c>
      <c r="G34" s="8" t="s">
        <v>36</v>
      </c>
      <c r="H34" s="9" t="s">
        <v>15</v>
      </c>
      <c r="I34" s="8" t="s">
        <v>45</v>
      </c>
      <c r="J34" s="7" t="s">
        <v>98</v>
      </c>
    </row>
    <row r="35" customFormat="false" ht="19.5" hidden="false" customHeight="true" outlineLevel="0" collapsed="false">
      <c r="B35" s="4" t="s">
        <v>99</v>
      </c>
      <c r="C35" s="5"/>
      <c r="D35" s="5"/>
      <c r="E35" s="5"/>
      <c r="F35" s="5"/>
      <c r="G35" s="5"/>
      <c r="H35" s="5"/>
      <c r="I35" s="5"/>
      <c r="J35" s="5"/>
    </row>
    <row r="36" customFormat="false" ht="33.75" hidden="false" customHeight="true" outlineLevel="0" collapsed="false">
      <c r="B36" s="6" t="s">
        <v>100</v>
      </c>
      <c r="C36" s="7" t="s">
        <v>101</v>
      </c>
      <c r="D36" s="8" t="s">
        <v>64</v>
      </c>
      <c r="E36" s="9" t="s">
        <v>15</v>
      </c>
      <c r="F36" s="9" t="s">
        <v>15</v>
      </c>
      <c r="G36" s="9" t="s">
        <v>15</v>
      </c>
      <c r="H36" s="9" t="s">
        <v>15</v>
      </c>
      <c r="I36" s="8" t="s">
        <v>17</v>
      </c>
      <c r="J36" s="7" t="s">
        <v>102</v>
      </c>
    </row>
    <row r="37" customFormat="false" ht="33.75" hidden="false" customHeight="true" outlineLevel="0" collapsed="false">
      <c r="B37" s="6" t="s">
        <v>103</v>
      </c>
      <c r="C37" s="7" t="s">
        <v>101</v>
      </c>
      <c r="D37" s="8" t="s">
        <v>64</v>
      </c>
      <c r="E37" s="9" t="s">
        <v>15</v>
      </c>
      <c r="F37" s="9" t="s">
        <v>15</v>
      </c>
      <c r="G37" s="8" t="s">
        <v>36</v>
      </c>
      <c r="H37" s="9" t="s">
        <v>15</v>
      </c>
      <c r="I37" s="8" t="s">
        <v>45</v>
      </c>
      <c r="J37" s="7" t="s">
        <v>104</v>
      </c>
    </row>
    <row r="38" customFormat="false" ht="33.75" hidden="false" customHeight="true" outlineLevel="0" collapsed="false">
      <c r="B38" s="6" t="s">
        <v>105</v>
      </c>
      <c r="C38" s="7" t="s">
        <v>101</v>
      </c>
      <c r="D38" s="8" t="s">
        <v>64</v>
      </c>
      <c r="E38" s="9" t="s">
        <v>15</v>
      </c>
      <c r="F38" s="9" t="s">
        <v>15</v>
      </c>
      <c r="G38" s="9" t="s">
        <v>15</v>
      </c>
      <c r="H38" s="9" t="s">
        <v>15</v>
      </c>
      <c r="I38" s="8" t="s">
        <v>45</v>
      </c>
      <c r="J38" s="7" t="s">
        <v>106</v>
      </c>
    </row>
    <row r="39" customFormat="false" ht="19.5" hidden="false" customHeight="true" outlineLevel="0" collapsed="false">
      <c r="B39" s="4" t="s">
        <v>107</v>
      </c>
      <c r="C39" s="5"/>
      <c r="D39" s="5"/>
      <c r="E39" s="5"/>
      <c r="F39" s="5"/>
      <c r="G39" s="5"/>
      <c r="H39" s="5"/>
      <c r="I39" s="5"/>
      <c r="J39" s="5"/>
    </row>
    <row r="40" customFormat="false" ht="33.75" hidden="false" customHeight="true" outlineLevel="0" collapsed="false">
      <c r="B40" s="6" t="s">
        <v>108</v>
      </c>
      <c r="C40" s="7" t="s">
        <v>109</v>
      </c>
      <c r="D40" s="8" t="s">
        <v>64</v>
      </c>
      <c r="E40" s="9" t="s">
        <v>15</v>
      </c>
      <c r="F40" s="9" t="s">
        <v>15</v>
      </c>
      <c r="G40" s="9" t="s">
        <v>15</v>
      </c>
      <c r="H40" s="9" t="s">
        <v>15</v>
      </c>
      <c r="I40" s="8" t="s">
        <v>45</v>
      </c>
      <c r="J40" s="7" t="s">
        <v>110</v>
      </c>
    </row>
    <row r="41" customFormat="false" ht="33.75" hidden="false" customHeight="true" outlineLevel="0" collapsed="false">
      <c r="B41" s="6" t="s">
        <v>111</v>
      </c>
      <c r="C41" s="7" t="s">
        <v>109</v>
      </c>
      <c r="D41" s="8" t="s">
        <v>35</v>
      </c>
      <c r="E41" s="9" t="s">
        <v>15</v>
      </c>
      <c r="F41" s="9" t="s">
        <v>15</v>
      </c>
      <c r="G41" s="9" t="s">
        <v>15</v>
      </c>
      <c r="H41" s="9" t="s">
        <v>15</v>
      </c>
      <c r="I41" s="8" t="s">
        <v>45</v>
      </c>
      <c r="J41" s="7" t="s">
        <v>112</v>
      </c>
    </row>
    <row r="43" customFormat="false" ht="15" hidden="false" customHeight="false" outlineLevel="0" collapsed="false">
      <c r="B43" s="10" t="s">
        <v>113</v>
      </c>
    </row>
  </sheetData>
  <hyperlinks>
    <hyperlink ref="D7" r:id="rId1" display="Все вакансии →"/>
    <hyperlink ref="F7" r:id="rId2" display="Развитие бизнеса →"/>
    <hyperlink ref="I7" r:id="rId3" display="Работодатель →"/>
    <hyperlink ref="D8" r:id="rId4" display="Поиск вакансий →"/>
    <hyperlink ref="F8" r:id="rId5" display="Профессионалам и руководителям →"/>
    <hyperlink ref="I8" r:id="rId6" display="Работодатель →"/>
    <hyperlink ref="D9" r:id="rId7" display="Все вакансии →"/>
    <hyperlink ref="E9" r:id="rId8" display="Backend →"/>
    <hyperlink ref="F9" r:id="rId9" display="Продажи и развитие бизнеса →"/>
    <hyperlink ref="H9" r:id="rId10" display="Удалённо →"/>
    <hyperlink ref="I9" r:id="rId11" display="Работодатель →"/>
    <hyperlink ref="D11" r:id="rId12" display="Все вакансии →"/>
    <hyperlink ref="E11" r:id="rId13" display="Разработка →"/>
    <hyperlink ref="F11" r:id="rId14" display="Ozon Fintech →"/>
    <hyperlink ref="I11" r:id="rId15" display="Работодатель →"/>
    <hyperlink ref="D12" r:id="rId16" display="Карьера →"/>
    <hyperlink ref="G12" r:id="rId17" display="Стажировки →"/>
    <hyperlink ref="I12" r:id="rId18" display="Работодатель →"/>
    <hyperlink ref="D13" r:id="rId19" display="Карьерный портал →"/>
    <hyperlink ref="E13" r:id="rId20" display="X5 Tech →"/>
    <hyperlink ref="I13" r:id="rId21" display="Работодатель →"/>
    <hyperlink ref="E14" r:id="rId22" display="ИТ-вакансии →"/>
    <hyperlink ref="F14" r:id="rId23" display="Бизнес и процессы →"/>
    <hyperlink ref="I14" r:id="rId24" display="Поиск →"/>
    <hyperlink ref="D15" r:id="rId25" display="Карьерный сайт →"/>
    <hyperlink ref="I15" r:id="rId26" display="Поиск →"/>
    <hyperlink ref="D17" r:id="rId27" display="Карьера →"/>
    <hyperlink ref="E17" r:id="rId28" display="Работа в ИТ →"/>
    <hyperlink ref="F17" r:id="rId29" display="Маркетинг, финансы, HR, аналитика →"/>
    <hyperlink ref="I17" r:id="rId30" display="Работодатель →"/>
    <hyperlink ref="E18" r:id="rId31" display="Alfa Digital →"/>
    <hyperlink ref="H18" r:id="rId32" display="Удалённо →"/>
    <hyperlink ref="I18" r:id="rId33" display="Работодатель →"/>
    <hyperlink ref="D19" r:id="rId34" display="Карьера →"/>
    <hyperlink ref="E19" r:id="rId35" display="ИТ в ВТБ →"/>
    <hyperlink ref="G19" r:id="rId36" display="ВТБ Юниор →"/>
    <hyperlink ref="I19" r:id="rId37" display="Работодатель →"/>
    <hyperlink ref="D20" r:id="rId38" display="Вакансии →"/>
    <hyperlink ref="I20" r:id="rId39" display="Поиск →"/>
    <hyperlink ref="D21" r:id="rId40" display="Вакансии →"/>
    <hyperlink ref="I21" r:id="rId41" display="Поиск →"/>
    <hyperlink ref="H22" r:id="rId42" display="Удалённые вакансии →"/>
    <hyperlink ref="I22" r:id="rId43" display="Поиск →"/>
    <hyperlink ref="D24" r:id="rId44" display="Все вакансии →"/>
    <hyperlink ref="G24" r:id="rId45" display="Стажировки →"/>
    <hyperlink ref="I24" r:id="rId46" display="Работодатель →"/>
    <hyperlink ref="D25" r:id="rId47" display="Вакансии →"/>
    <hyperlink ref="I25" r:id="rId48" display="Работодатель →"/>
    <hyperlink ref="D26" r:id="rId49" display="Вакансии для экспертов →"/>
    <hyperlink ref="I26" r:id="rId50" display="Работодатель →"/>
    <hyperlink ref="D27" r:id="rId51" display="Работа в Ростелекоме →"/>
    <hyperlink ref="F27" r:id="rId52" display="Продажи и обслуживание →"/>
    <hyperlink ref="I27" r:id="rId53" display="Работодатель →"/>
    <hyperlink ref="D29" r:id="rId54" display="Все вакансии →"/>
    <hyperlink ref="E29" r:id="rId55" display="Разработка →"/>
    <hyperlink ref="I29" r:id="rId56" display="Работодатель →"/>
    <hyperlink ref="D30" r:id="rId57" display="Вакансии →"/>
    <hyperlink ref="I30" r:id="rId58" display="Поиск →"/>
    <hyperlink ref="D31" r:id="rId59" display="Вакансии →"/>
    <hyperlink ref="I31" r:id="rId60" display="Работодатель →"/>
    <hyperlink ref="D33" r:id="rId61" display="Вакансии →"/>
    <hyperlink ref="F33" r:id="rId62" display="Продажи →"/>
    <hyperlink ref="I33" r:id="rId63" display="Работодатель →"/>
    <hyperlink ref="D34" r:id="rId64" display="Вакансии →"/>
    <hyperlink ref="F34" r:id="rId65" display="Продажи →"/>
    <hyperlink ref="G34" r:id="rId66" display="Стажировки →"/>
    <hyperlink ref="I34" r:id="rId67" display="Поиск →"/>
    <hyperlink ref="D36" r:id="rId68" display="Вакансии →"/>
    <hyperlink ref="I36" r:id="rId69" display="Работодатель →"/>
    <hyperlink ref="D37" r:id="rId70" display="Вакансии →"/>
    <hyperlink ref="G37" r:id="rId71" display="Стажировки →"/>
    <hyperlink ref="I37" r:id="rId72" display="Поиск →"/>
    <hyperlink ref="D38" r:id="rId73" display="Вакансии →"/>
    <hyperlink ref="I38" r:id="rId74" display="Поиск →"/>
    <hyperlink ref="D40" r:id="rId75" display="Вакансии →"/>
    <hyperlink ref="I40" r:id="rId76" display="Поиск →"/>
    <hyperlink ref="D41" r:id="rId77" display="Карьера →"/>
    <hyperlink ref="I41" r:id="rId78" display="Поиск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3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8"/>
  </cols>
  <sheetData>
    <row r="2" customFormat="false" ht="30" hidden="false" customHeight="true" outlineLevel="0" collapsed="false">
      <c r="B2" s="1" t="s">
        <v>114</v>
      </c>
    </row>
    <row r="3" customFormat="false" ht="15" hidden="false" customHeight="false" outlineLevel="0" collapsed="false">
      <c r="B3" s="2" t="s">
        <v>115</v>
      </c>
    </row>
    <row r="5" customFormat="false" ht="27.75" hidden="false" customHeight="true" outlineLevel="0" collapsed="false">
      <c r="B5" s="3" t="s">
        <v>2</v>
      </c>
      <c r="C5" s="3" t="s">
        <v>116</v>
      </c>
      <c r="D5" s="3" t="s">
        <v>117</v>
      </c>
      <c r="E5" s="3" t="s">
        <v>118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123</v>
      </c>
      <c r="L5" s="11" t="s">
        <v>124</v>
      </c>
      <c r="M5" s="12"/>
    </row>
    <row r="6" customFormat="false" ht="21.75" hidden="false" customHeight="true" outlineLevel="0" collapsed="false">
      <c r="B6" s="13" t="s">
        <v>125</v>
      </c>
      <c r="C6" s="13" t="s">
        <v>126</v>
      </c>
      <c r="D6" s="13" t="s">
        <v>127</v>
      </c>
      <c r="E6" s="13" t="s">
        <v>128</v>
      </c>
      <c r="F6" s="14" t="n">
        <f aca="true">TODAY()-3</f>
        <v>46308</v>
      </c>
      <c r="G6" s="13" t="s">
        <v>129</v>
      </c>
      <c r="H6" s="13" t="s">
        <v>130</v>
      </c>
      <c r="I6" s="14" t="n">
        <f aca="true">TODAY()+4</f>
        <v>46315</v>
      </c>
      <c r="J6" s="13" t="s">
        <v>131</v>
      </c>
      <c r="L6" s="15" t="s">
        <v>132</v>
      </c>
      <c r="M6" s="16" t="n">
        <f aca="false">COUNTA(B7:B205)</f>
        <v>0</v>
      </c>
    </row>
    <row r="7" customFormat="false" ht="21.75" hidden="false" customHeight="true" outlineLevel="0" collapsed="false">
      <c r="B7" s="17"/>
      <c r="C7" s="17"/>
      <c r="D7" s="17"/>
      <c r="E7" s="17"/>
      <c r="F7" s="18"/>
      <c r="G7" s="17"/>
      <c r="H7" s="17"/>
      <c r="I7" s="18"/>
      <c r="J7" s="17"/>
      <c r="L7" s="15" t="s">
        <v>133</v>
      </c>
      <c r="M7" s="16" t="n">
        <f aca="false">COUNTIF(G7:G205,"Хочу откликнуться")</f>
        <v>0</v>
      </c>
    </row>
    <row r="8" customFormat="false" ht="21.75" hidden="false" customHeight="true" outlineLevel="0" collapsed="false">
      <c r="B8" s="17"/>
      <c r="C8" s="17"/>
      <c r="D8" s="17"/>
      <c r="E8" s="17"/>
      <c r="F8" s="18"/>
      <c r="G8" s="17"/>
      <c r="H8" s="17"/>
      <c r="I8" s="18"/>
      <c r="J8" s="17"/>
      <c r="L8" s="15" t="s">
        <v>129</v>
      </c>
      <c r="M8" s="16" t="n">
        <f aca="false">COUNTIF(G7:G205,"Отклик отправлен")</f>
        <v>0</v>
      </c>
    </row>
    <row r="9" customFormat="false" ht="21.75" hidden="false" customHeight="true" outlineLevel="0" collapsed="false">
      <c r="B9" s="17"/>
      <c r="C9" s="17"/>
      <c r="D9" s="17"/>
      <c r="E9" s="17"/>
      <c r="F9" s="18"/>
      <c r="G9" s="17"/>
      <c r="H9" s="17"/>
      <c r="I9" s="18"/>
      <c r="J9" s="17"/>
      <c r="L9" s="15" t="s">
        <v>134</v>
      </c>
      <c r="M9" s="16" t="n">
        <f aca="false">COUNTIF(G7:G205,"Связался рекрутер")</f>
        <v>0</v>
      </c>
    </row>
    <row r="10" customFormat="false" ht="21.75" hidden="false" customHeight="true" outlineLevel="0" collapsed="false">
      <c r="B10" s="17"/>
      <c r="C10" s="17"/>
      <c r="D10" s="17"/>
      <c r="E10" s="17"/>
      <c r="F10" s="18"/>
      <c r="G10" s="17"/>
      <c r="H10" s="17"/>
      <c r="I10" s="18"/>
      <c r="J10" s="17"/>
      <c r="L10" s="15" t="s">
        <v>135</v>
      </c>
      <c r="M10" s="16" t="n">
        <f aca="false">COUNTIF(G7:G205,"Интервью")</f>
        <v>0</v>
      </c>
    </row>
    <row r="11" customFormat="false" ht="21.75" hidden="false" customHeight="true" outlineLevel="0" collapsed="false">
      <c r="B11" s="17"/>
      <c r="C11" s="17"/>
      <c r="D11" s="17"/>
      <c r="E11" s="17"/>
      <c r="F11" s="18"/>
      <c r="G11" s="17"/>
      <c r="H11" s="17"/>
      <c r="I11" s="18"/>
      <c r="J11" s="17"/>
      <c r="L11" s="15" t="s">
        <v>136</v>
      </c>
      <c r="M11" s="16" t="n">
        <f aca="false">COUNTIF(G7:G205,"Тестовое")</f>
        <v>0</v>
      </c>
    </row>
    <row r="12" customFormat="false" ht="21.75" hidden="false" customHeight="true" outlineLevel="0" collapsed="false">
      <c r="B12" s="17"/>
      <c r="C12" s="17"/>
      <c r="D12" s="17"/>
      <c r="E12" s="17"/>
      <c r="F12" s="18"/>
      <c r="G12" s="17"/>
      <c r="H12" s="17"/>
      <c r="I12" s="18"/>
      <c r="J12" s="17"/>
      <c r="L12" s="15" t="s">
        <v>137</v>
      </c>
      <c r="M12" s="16" t="n">
        <f aca="false">COUNTIF(G7:G205,"Оффер")</f>
        <v>0</v>
      </c>
    </row>
    <row r="13" customFormat="false" ht="21.75" hidden="false" customHeight="true" outlineLevel="0" collapsed="false">
      <c r="B13" s="17"/>
      <c r="C13" s="17"/>
      <c r="D13" s="17"/>
      <c r="E13" s="17"/>
      <c r="F13" s="18"/>
      <c r="G13" s="17"/>
      <c r="H13" s="17"/>
      <c r="I13" s="18"/>
      <c r="J13" s="17"/>
      <c r="L13" s="15" t="s">
        <v>138</v>
      </c>
      <c r="M13" s="16" t="n">
        <f aca="false">COUNTIF(G7:G205,"Отказ")</f>
        <v>0</v>
      </c>
    </row>
    <row r="14" customFormat="false" ht="21.75" hidden="false" customHeight="true" outlineLevel="0" collapsed="false">
      <c r="B14" s="17"/>
      <c r="C14" s="17"/>
      <c r="D14" s="17"/>
      <c r="E14" s="17"/>
      <c r="F14" s="18"/>
      <c r="G14" s="17"/>
      <c r="H14" s="17"/>
      <c r="I14" s="18"/>
      <c r="J14" s="17"/>
      <c r="L14" s="15" t="s">
        <v>139</v>
      </c>
      <c r="M14" s="16" t="n">
        <f aca="false">COUNTIF(G7:G205,"Пауза")</f>
        <v>0</v>
      </c>
    </row>
    <row r="15" customFormat="false" ht="21.75" hidden="false" customHeight="true" outlineLevel="0" collapsed="false">
      <c r="B15" s="17"/>
      <c r="C15" s="17"/>
      <c r="D15" s="17"/>
      <c r="E15" s="17"/>
      <c r="F15" s="18"/>
      <c r="G15" s="17"/>
      <c r="H15" s="17"/>
      <c r="I15" s="18"/>
      <c r="J15" s="17"/>
      <c r="L15" s="15" t="s">
        <v>140</v>
      </c>
      <c r="M15" s="16" t="n">
        <f aca="true">COUNTIFS(I7:I205,"&lt;"&amp;TODAY(),I7:I205,"&lt;&gt;")</f>
        <v>0</v>
      </c>
    </row>
    <row r="16" customFormat="false" ht="21.75" hidden="false" customHeight="true" outlineLevel="0" collapsed="false">
      <c r="B16" s="17"/>
      <c r="C16" s="17"/>
      <c r="D16" s="17"/>
      <c r="E16" s="17"/>
      <c r="F16" s="18"/>
      <c r="G16" s="17"/>
      <c r="H16" s="17"/>
      <c r="I16" s="18"/>
      <c r="J16" s="17"/>
    </row>
    <row r="17" customFormat="false" ht="21.75" hidden="false" customHeight="true" outlineLevel="0" collapsed="false">
      <c r="B17" s="17"/>
      <c r="C17" s="17"/>
      <c r="D17" s="17"/>
      <c r="E17" s="17"/>
      <c r="F17" s="18"/>
      <c r="G17" s="17"/>
      <c r="H17" s="17"/>
      <c r="I17" s="18"/>
      <c r="J17" s="17"/>
    </row>
    <row r="18" customFormat="false" ht="21.75" hidden="false" customHeight="true" outlineLevel="0" collapsed="false">
      <c r="B18" s="17"/>
      <c r="C18" s="17"/>
      <c r="D18" s="17"/>
      <c r="E18" s="17"/>
      <c r="F18" s="18"/>
      <c r="G18" s="17"/>
      <c r="H18" s="17"/>
      <c r="I18" s="18"/>
      <c r="J18" s="17"/>
    </row>
    <row r="19" customFormat="false" ht="21.75" hidden="false" customHeight="true" outlineLevel="0" collapsed="false">
      <c r="B19" s="17"/>
      <c r="C19" s="17"/>
      <c r="D19" s="17"/>
      <c r="E19" s="17"/>
      <c r="F19" s="18"/>
      <c r="G19" s="17"/>
      <c r="H19" s="17"/>
      <c r="I19" s="18"/>
      <c r="J19" s="17"/>
    </row>
    <row r="20" customFormat="false" ht="21.75" hidden="false" customHeight="true" outlineLevel="0" collapsed="false">
      <c r="B20" s="17"/>
      <c r="C20" s="17"/>
      <c r="D20" s="17"/>
      <c r="E20" s="17"/>
      <c r="F20" s="18"/>
      <c r="G20" s="17"/>
      <c r="H20" s="17"/>
      <c r="I20" s="18"/>
      <c r="J20" s="17"/>
    </row>
    <row r="21" customFormat="false" ht="21.75" hidden="false" customHeight="true" outlineLevel="0" collapsed="false">
      <c r="B21" s="17"/>
      <c r="C21" s="17"/>
      <c r="D21" s="17"/>
      <c r="E21" s="17"/>
      <c r="F21" s="18"/>
      <c r="G21" s="17"/>
      <c r="H21" s="17"/>
      <c r="I21" s="18"/>
      <c r="J21" s="17"/>
    </row>
    <row r="22" customFormat="false" ht="21.75" hidden="false" customHeight="true" outlineLevel="0" collapsed="false">
      <c r="B22" s="17"/>
      <c r="C22" s="17"/>
      <c r="D22" s="17"/>
      <c r="E22" s="17"/>
      <c r="F22" s="18"/>
      <c r="G22" s="17"/>
      <c r="H22" s="17"/>
      <c r="I22" s="18"/>
      <c r="J22" s="17"/>
    </row>
    <row r="23" customFormat="false" ht="21.75" hidden="false" customHeight="true" outlineLevel="0" collapsed="false">
      <c r="B23" s="17"/>
      <c r="C23" s="17"/>
      <c r="D23" s="17"/>
      <c r="E23" s="17"/>
      <c r="F23" s="18"/>
      <c r="G23" s="17"/>
      <c r="H23" s="17"/>
      <c r="I23" s="18"/>
      <c r="J23" s="17"/>
    </row>
    <row r="24" customFormat="false" ht="21.75" hidden="false" customHeight="true" outlineLevel="0" collapsed="false">
      <c r="B24" s="17"/>
      <c r="C24" s="17"/>
      <c r="D24" s="17"/>
      <c r="E24" s="17"/>
      <c r="F24" s="18"/>
      <c r="G24" s="17"/>
      <c r="H24" s="17"/>
      <c r="I24" s="18"/>
      <c r="J24" s="17"/>
    </row>
    <row r="25" customFormat="false" ht="21.75" hidden="false" customHeight="true" outlineLevel="0" collapsed="false">
      <c r="B25" s="17"/>
      <c r="C25" s="17"/>
      <c r="D25" s="17"/>
      <c r="E25" s="17"/>
      <c r="F25" s="18"/>
      <c r="G25" s="17"/>
      <c r="H25" s="17"/>
      <c r="I25" s="18"/>
      <c r="J25" s="17"/>
    </row>
    <row r="26" customFormat="false" ht="21.75" hidden="false" customHeight="true" outlineLevel="0" collapsed="false">
      <c r="B26" s="17"/>
      <c r="C26" s="17"/>
      <c r="D26" s="17"/>
      <c r="E26" s="17"/>
      <c r="F26" s="18"/>
      <c r="G26" s="17"/>
      <c r="H26" s="17"/>
      <c r="I26" s="18"/>
      <c r="J26" s="17"/>
    </row>
    <row r="27" customFormat="false" ht="21.75" hidden="false" customHeight="true" outlineLevel="0" collapsed="false">
      <c r="B27" s="17"/>
      <c r="C27" s="17"/>
      <c r="D27" s="17"/>
      <c r="E27" s="17"/>
      <c r="F27" s="18"/>
      <c r="G27" s="17"/>
      <c r="H27" s="17"/>
      <c r="I27" s="18"/>
      <c r="J27" s="17"/>
    </row>
    <row r="28" customFormat="false" ht="21.75" hidden="false" customHeight="true" outlineLevel="0" collapsed="false">
      <c r="B28" s="17"/>
      <c r="C28" s="17"/>
      <c r="D28" s="17"/>
      <c r="E28" s="17"/>
      <c r="F28" s="18"/>
      <c r="G28" s="17"/>
      <c r="H28" s="17"/>
      <c r="I28" s="18"/>
      <c r="J28" s="17"/>
    </row>
    <row r="29" customFormat="false" ht="21.75" hidden="false" customHeight="true" outlineLevel="0" collapsed="false">
      <c r="B29" s="17"/>
      <c r="C29" s="17"/>
      <c r="D29" s="17"/>
      <c r="E29" s="17"/>
      <c r="F29" s="18"/>
      <c r="G29" s="17"/>
      <c r="H29" s="17"/>
      <c r="I29" s="18"/>
      <c r="J29" s="17"/>
    </row>
    <row r="30" customFormat="false" ht="21.75" hidden="false" customHeight="true" outlineLevel="0" collapsed="false">
      <c r="B30" s="17"/>
      <c r="C30" s="17"/>
      <c r="D30" s="17"/>
      <c r="E30" s="17"/>
      <c r="F30" s="18"/>
      <c r="G30" s="17"/>
      <c r="H30" s="17"/>
      <c r="I30" s="18"/>
      <c r="J30" s="17"/>
    </row>
    <row r="31" customFormat="false" ht="21.75" hidden="false" customHeight="true" outlineLevel="0" collapsed="false">
      <c r="B31" s="17"/>
      <c r="C31" s="17"/>
      <c r="D31" s="17"/>
      <c r="E31" s="17"/>
      <c r="F31" s="18"/>
      <c r="G31" s="17"/>
      <c r="H31" s="17"/>
      <c r="I31" s="18"/>
      <c r="J31" s="17"/>
    </row>
    <row r="32" customFormat="false" ht="21.75" hidden="false" customHeight="true" outlineLevel="0" collapsed="false">
      <c r="B32" s="17"/>
      <c r="C32" s="17"/>
      <c r="D32" s="17"/>
      <c r="E32" s="17"/>
      <c r="F32" s="18"/>
      <c r="G32" s="17"/>
      <c r="H32" s="17"/>
      <c r="I32" s="18"/>
      <c r="J32" s="17"/>
    </row>
    <row r="33" customFormat="false" ht="21.75" hidden="false" customHeight="true" outlineLevel="0" collapsed="false">
      <c r="B33" s="17"/>
      <c r="C33" s="17"/>
      <c r="D33" s="17"/>
      <c r="E33" s="17"/>
      <c r="F33" s="18"/>
      <c r="G33" s="17"/>
      <c r="H33" s="17"/>
      <c r="I33" s="18"/>
      <c r="J33" s="17"/>
    </row>
    <row r="34" customFormat="false" ht="21.75" hidden="false" customHeight="true" outlineLevel="0" collapsed="false">
      <c r="B34" s="17"/>
      <c r="C34" s="17"/>
      <c r="D34" s="17"/>
      <c r="E34" s="17"/>
      <c r="F34" s="18"/>
      <c r="G34" s="17"/>
      <c r="H34" s="17"/>
      <c r="I34" s="18"/>
      <c r="J34" s="17"/>
    </row>
    <row r="35" customFormat="false" ht="21.75" hidden="false" customHeight="true" outlineLevel="0" collapsed="false">
      <c r="B35" s="17"/>
      <c r="C35" s="17"/>
      <c r="D35" s="17"/>
      <c r="E35" s="17"/>
      <c r="F35" s="18"/>
      <c r="G35" s="17"/>
      <c r="H35" s="17"/>
      <c r="I35" s="18"/>
      <c r="J35" s="17"/>
    </row>
    <row r="36" customFormat="false" ht="21.75" hidden="false" customHeight="true" outlineLevel="0" collapsed="false">
      <c r="B36" s="17"/>
      <c r="C36" s="17"/>
      <c r="D36" s="17"/>
      <c r="E36" s="17"/>
      <c r="F36" s="18"/>
      <c r="G36" s="17"/>
      <c r="H36" s="17"/>
      <c r="I36" s="18"/>
      <c r="J36" s="17"/>
    </row>
    <row r="37" customFormat="false" ht="21.75" hidden="false" customHeight="true" outlineLevel="0" collapsed="false">
      <c r="B37" s="17"/>
      <c r="C37" s="17"/>
      <c r="D37" s="17"/>
      <c r="E37" s="17"/>
      <c r="F37" s="18"/>
      <c r="G37" s="17"/>
      <c r="H37" s="17"/>
      <c r="I37" s="18"/>
      <c r="J37" s="17"/>
    </row>
    <row r="38" customFormat="false" ht="21.75" hidden="false" customHeight="true" outlineLevel="0" collapsed="false">
      <c r="B38" s="17"/>
      <c r="C38" s="17"/>
      <c r="D38" s="17"/>
      <c r="E38" s="17"/>
      <c r="F38" s="18"/>
      <c r="G38" s="17"/>
      <c r="H38" s="17"/>
      <c r="I38" s="18"/>
      <c r="J38" s="17"/>
    </row>
    <row r="39" customFormat="false" ht="21.75" hidden="false" customHeight="true" outlineLevel="0" collapsed="false">
      <c r="B39" s="17"/>
      <c r="C39" s="17"/>
      <c r="D39" s="17"/>
      <c r="E39" s="17"/>
      <c r="F39" s="18"/>
      <c r="G39" s="17"/>
      <c r="H39" s="17"/>
      <c r="I39" s="18"/>
      <c r="J39" s="17"/>
    </row>
    <row r="40" customFormat="false" ht="21.75" hidden="false" customHeight="true" outlineLevel="0" collapsed="false">
      <c r="B40" s="17"/>
      <c r="C40" s="17"/>
      <c r="D40" s="17"/>
      <c r="E40" s="17"/>
      <c r="F40" s="18"/>
      <c r="G40" s="17"/>
      <c r="H40" s="17"/>
      <c r="I40" s="18"/>
      <c r="J40" s="17"/>
    </row>
    <row r="41" customFormat="false" ht="21.75" hidden="false" customHeight="true" outlineLevel="0" collapsed="false">
      <c r="B41" s="17"/>
      <c r="C41" s="17"/>
      <c r="D41" s="17"/>
      <c r="E41" s="17"/>
      <c r="F41" s="18"/>
      <c r="G41" s="17"/>
      <c r="H41" s="17"/>
      <c r="I41" s="18"/>
      <c r="J41" s="17"/>
    </row>
    <row r="42" customFormat="false" ht="21.75" hidden="false" customHeight="true" outlineLevel="0" collapsed="false">
      <c r="B42" s="17"/>
      <c r="C42" s="17"/>
      <c r="D42" s="17"/>
      <c r="E42" s="17"/>
      <c r="F42" s="18"/>
      <c r="G42" s="17"/>
      <c r="H42" s="17"/>
      <c r="I42" s="18"/>
      <c r="J42" s="17"/>
    </row>
    <row r="43" customFormat="false" ht="21.75" hidden="false" customHeight="true" outlineLevel="0" collapsed="false">
      <c r="B43" s="17"/>
      <c r="C43" s="17"/>
      <c r="D43" s="17"/>
      <c r="E43" s="17"/>
      <c r="F43" s="18"/>
      <c r="G43" s="17"/>
      <c r="H43" s="17"/>
      <c r="I43" s="18"/>
      <c r="J43" s="17"/>
    </row>
    <row r="44" customFormat="false" ht="21.75" hidden="false" customHeight="true" outlineLevel="0" collapsed="false">
      <c r="B44" s="17"/>
      <c r="C44" s="17"/>
      <c r="D44" s="17"/>
      <c r="E44" s="17"/>
      <c r="F44" s="18"/>
      <c r="G44" s="17"/>
      <c r="H44" s="17"/>
      <c r="I44" s="18"/>
      <c r="J44" s="17"/>
    </row>
    <row r="45" customFormat="false" ht="21.75" hidden="false" customHeight="true" outlineLevel="0" collapsed="false">
      <c r="B45" s="17"/>
      <c r="C45" s="17"/>
      <c r="D45" s="17"/>
      <c r="E45" s="17"/>
      <c r="F45" s="18"/>
      <c r="G45" s="17"/>
      <c r="H45" s="17"/>
      <c r="I45" s="18"/>
      <c r="J45" s="17"/>
    </row>
    <row r="46" customFormat="false" ht="21.75" hidden="false" customHeight="true" outlineLevel="0" collapsed="false">
      <c r="B46" s="17"/>
      <c r="C46" s="17"/>
      <c r="D46" s="17"/>
      <c r="E46" s="17"/>
      <c r="F46" s="18"/>
      <c r="G46" s="17"/>
      <c r="H46" s="17"/>
      <c r="I46" s="18"/>
      <c r="J46" s="17"/>
    </row>
    <row r="47" customFormat="false" ht="21.75" hidden="false" customHeight="true" outlineLevel="0" collapsed="false">
      <c r="B47" s="17"/>
      <c r="C47" s="17"/>
      <c r="D47" s="17"/>
      <c r="E47" s="17"/>
      <c r="F47" s="18"/>
      <c r="G47" s="17"/>
      <c r="H47" s="17"/>
      <c r="I47" s="18"/>
      <c r="J47" s="17"/>
    </row>
    <row r="48" customFormat="false" ht="21.75" hidden="false" customHeight="true" outlineLevel="0" collapsed="false">
      <c r="B48" s="17"/>
      <c r="C48" s="17"/>
      <c r="D48" s="17"/>
      <c r="E48" s="17"/>
      <c r="F48" s="18"/>
      <c r="G48" s="17"/>
      <c r="H48" s="17"/>
      <c r="I48" s="18"/>
      <c r="J48" s="17"/>
    </row>
    <row r="49" customFormat="false" ht="21.75" hidden="false" customHeight="true" outlineLevel="0" collapsed="false">
      <c r="B49" s="17"/>
      <c r="C49" s="17"/>
      <c r="D49" s="17"/>
      <c r="E49" s="17"/>
      <c r="F49" s="18"/>
      <c r="G49" s="17"/>
      <c r="H49" s="17"/>
      <c r="I49" s="18"/>
      <c r="J49" s="17"/>
    </row>
    <row r="50" customFormat="false" ht="21.75" hidden="false" customHeight="true" outlineLevel="0" collapsed="false">
      <c r="B50" s="17"/>
      <c r="C50" s="17"/>
      <c r="D50" s="17"/>
      <c r="E50" s="17"/>
      <c r="F50" s="18"/>
      <c r="G50" s="17"/>
      <c r="H50" s="17"/>
      <c r="I50" s="18"/>
      <c r="J50" s="17"/>
    </row>
    <row r="51" customFormat="false" ht="21.75" hidden="false" customHeight="true" outlineLevel="0" collapsed="false">
      <c r="B51" s="17"/>
      <c r="C51" s="17"/>
      <c r="D51" s="17"/>
      <c r="E51" s="17"/>
      <c r="F51" s="18"/>
      <c r="G51" s="17"/>
      <c r="H51" s="17"/>
      <c r="I51" s="18"/>
      <c r="J51" s="17"/>
    </row>
    <row r="52" customFormat="false" ht="21.75" hidden="false" customHeight="true" outlineLevel="0" collapsed="false">
      <c r="B52" s="17"/>
      <c r="C52" s="17"/>
      <c r="D52" s="17"/>
      <c r="E52" s="17"/>
      <c r="F52" s="18"/>
      <c r="G52" s="17"/>
      <c r="H52" s="17"/>
      <c r="I52" s="18"/>
      <c r="J52" s="17"/>
    </row>
    <row r="53" customFormat="false" ht="21.75" hidden="false" customHeight="true" outlineLevel="0" collapsed="false">
      <c r="B53" s="17"/>
      <c r="C53" s="17"/>
      <c r="D53" s="17"/>
      <c r="E53" s="17"/>
      <c r="F53" s="18"/>
      <c r="G53" s="17"/>
      <c r="H53" s="17"/>
      <c r="I53" s="18"/>
      <c r="J53" s="17"/>
    </row>
    <row r="54" customFormat="false" ht="21.75" hidden="false" customHeight="true" outlineLevel="0" collapsed="false">
      <c r="B54" s="17"/>
      <c r="C54" s="17"/>
      <c r="D54" s="17"/>
      <c r="E54" s="17"/>
      <c r="F54" s="18"/>
      <c r="G54" s="17"/>
      <c r="H54" s="17"/>
      <c r="I54" s="18"/>
      <c r="J54" s="17"/>
    </row>
    <row r="55" customFormat="false" ht="21.75" hidden="false" customHeight="true" outlineLevel="0" collapsed="false">
      <c r="B55" s="17"/>
      <c r="C55" s="17"/>
      <c r="D55" s="17"/>
      <c r="E55" s="17"/>
      <c r="F55" s="18"/>
      <c r="G55" s="17"/>
      <c r="H55" s="17"/>
      <c r="I55" s="18"/>
      <c r="J55" s="17"/>
    </row>
    <row r="56" customFormat="false" ht="21.75" hidden="false" customHeight="true" outlineLevel="0" collapsed="false">
      <c r="B56" s="17"/>
      <c r="C56" s="17"/>
      <c r="D56" s="17"/>
      <c r="E56" s="17"/>
      <c r="F56" s="18"/>
      <c r="G56" s="17"/>
      <c r="H56" s="17"/>
      <c r="I56" s="18"/>
      <c r="J56" s="17"/>
    </row>
    <row r="57" customFormat="false" ht="21.75" hidden="false" customHeight="true" outlineLevel="0" collapsed="false">
      <c r="B57" s="17"/>
      <c r="C57" s="17"/>
      <c r="D57" s="17"/>
      <c r="E57" s="17"/>
      <c r="F57" s="18"/>
      <c r="G57" s="17"/>
      <c r="H57" s="17"/>
      <c r="I57" s="18"/>
      <c r="J57" s="17"/>
    </row>
    <row r="58" customFormat="false" ht="21.75" hidden="false" customHeight="true" outlineLevel="0" collapsed="false">
      <c r="B58" s="17"/>
      <c r="C58" s="17"/>
      <c r="D58" s="17"/>
      <c r="E58" s="17"/>
      <c r="F58" s="18"/>
      <c r="G58" s="17"/>
      <c r="H58" s="17"/>
      <c r="I58" s="18"/>
      <c r="J58" s="17"/>
    </row>
    <row r="59" customFormat="false" ht="21.75" hidden="false" customHeight="true" outlineLevel="0" collapsed="false">
      <c r="B59" s="17"/>
      <c r="C59" s="17"/>
      <c r="D59" s="17"/>
      <c r="E59" s="17"/>
      <c r="F59" s="18"/>
      <c r="G59" s="17"/>
      <c r="H59" s="17"/>
      <c r="I59" s="18"/>
      <c r="J59" s="17"/>
    </row>
    <row r="60" customFormat="false" ht="21.75" hidden="false" customHeight="true" outlineLevel="0" collapsed="false">
      <c r="B60" s="17"/>
      <c r="C60" s="17"/>
      <c r="D60" s="17"/>
      <c r="E60" s="17"/>
      <c r="F60" s="18"/>
      <c r="G60" s="17"/>
      <c r="H60" s="17"/>
      <c r="I60" s="18"/>
      <c r="J60" s="17"/>
    </row>
    <row r="61" customFormat="false" ht="21.75" hidden="false" customHeight="true" outlineLevel="0" collapsed="false">
      <c r="B61" s="17"/>
      <c r="C61" s="17"/>
      <c r="D61" s="17"/>
      <c r="E61" s="17"/>
      <c r="F61" s="18"/>
      <c r="G61" s="17"/>
      <c r="H61" s="17"/>
      <c r="I61" s="18"/>
      <c r="J61" s="17"/>
    </row>
    <row r="62" customFormat="false" ht="21.75" hidden="false" customHeight="true" outlineLevel="0" collapsed="false">
      <c r="B62" s="17"/>
      <c r="C62" s="17"/>
      <c r="D62" s="17"/>
      <c r="E62" s="17"/>
      <c r="F62" s="18"/>
      <c r="G62" s="17"/>
      <c r="H62" s="17"/>
      <c r="I62" s="18"/>
      <c r="J62" s="17"/>
    </row>
    <row r="63" customFormat="false" ht="21.75" hidden="false" customHeight="true" outlineLevel="0" collapsed="false">
      <c r="B63" s="17"/>
      <c r="C63" s="17"/>
      <c r="D63" s="17"/>
      <c r="E63" s="17"/>
      <c r="F63" s="18"/>
      <c r="G63" s="17"/>
      <c r="H63" s="17"/>
      <c r="I63" s="18"/>
      <c r="J63" s="17"/>
    </row>
    <row r="64" customFormat="false" ht="21.75" hidden="false" customHeight="true" outlineLevel="0" collapsed="false">
      <c r="B64" s="17"/>
      <c r="C64" s="17"/>
      <c r="D64" s="17"/>
      <c r="E64" s="17"/>
      <c r="F64" s="18"/>
      <c r="G64" s="17"/>
      <c r="H64" s="17"/>
      <c r="I64" s="18"/>
      <c r="J64" s="17"/>
    </row>
    <row r="65" customFormat="false" ht="21.75" hidden="false" customHeight="true" outlineLevel="0" collapsed="false">
      <c r="B65" s="17"/>
      <c r="C65" s="17"/>
      <c r="D65" s="17"/>
      <c r="E65" s="17"/>
      <c r="F65" s="18"/>
      <c r="G65" s="17"/>
      <c r="H65" s="17"/>
      <c r="I65" s="18"/>
      <c r="J65" s="17"/>
    </row>
    <row r="66" customFormat="false" ht="21.75" hidden="false" customHeight="true" outlineLevel="0" collapsed="false">
      <c r="B66" s="17"/>
      <c r="C66" s="17"/>
      <c r="D66" s="17"/>
      <c r="E66" s="17"/>
      <c r="F66" s="18"/>
      <c r="G66" s="17"/>
      <c r="H66" s="17"/>
      <c r="I66" s="18"/>
      <c r="J66" s="17"/>
    </row>
    <row r="67" customFormat="false" ht="21.75" hidden="false" customHeight="true" outlineLevel="0" collapsed="false">
      <c r="B67" s="17"/>
      <c r="C67" s="17"/>
      <c r="D67" s="17"/>
      <c r="E67" s="17"/>
      <c r="F67" s="18"/>
      <c r="G67" s="17"/>
      <c r="H67" s="17"/>
      <c r="I67" s="18"/>
      <c r="J67" s="17"/>
    </row>
    <row r="68" customFormat="false" ht="21.75" hidden="false" customHeight="true" outlineLevel="0" collapsed="false">
      <c r="B68" s="17"/>
      <c r="C68" s="17"/>
      <c r="D68" s="17"/>
      <c r="E68" s="17"/>
      <c r="F68" s="18"/>
      <c r="G68" s="17"/>
      <c r="H68" s="17"/>
      <c r="I68" s="18"/>
      <c r="J68" s="17"/>
    </row>
    <row r="69" customFormat="false" ht="21.75" hidden="false" customHeight="true" outlineLevel="0" collapsed="false">
      <c r="B69" s="17"/>
      <c r="C69" s="17"/>
      <c r="D69" s="17"/>
      <c r="E69" s="17"/>
      <c r="F69" s="18"/>
      <c r="G69" s="17"/>
      <c r="H69" s="17"/>
      <c r="I69" s="18"/>
      <c r="J69" s="17"/>
    </row>
    <row r="70" customFormat="false" ht="21.75" hidden="false" customHeight="true" outlineLevel="0" collapsed="false">
      <c r="B70" s="17"/>
      <c r="C70" s="17"/>
      <c r="D70" s="17"/>
      <c r="E70" s="17"/>
      <c r="F70" s="18"/>
      <c r="G70" s="17"/>
      <c r="H70" s="17"/>
      <c r="I70" s="18"/>
      <c r="J70" s="17"/>
    </row>
    <row r="71" customFormat="false" ht="21.75" hidden="false" customHeight="true" outlineLevel="0" collapsed="false">
      <c r="B71" s="17"/>
      <c r="C71" s="17"/>
      <c r="D71" s="17"/>
      <c r="E71" s="17"/>
      <c r="F71" s="18"/>
      <c r="G71" s="17"/>
      <c r="H71" s="17"/>
      <c r="I71" s="18"/>
      <c r="J71" s="17"/>
    </row>
    <row r="72" customFormat="false" ht="21.75" hidden="false" customHeight="true" outlineLevel="0" collapsed="false">
      <c r="B72" s="17"/>
      <c r="C72" s="17"/>
      <c r="D72" s="17"/>
      <c r="E72" s="17"/>
      <c r="F72" s="18"/>
      <c r="G72" s="17"/>
      <c r="H72" s="17"/>
      <c r="I72" s="18"/>
      <c r="J72" s="17"/>
    </row>
    <row r="73" customFormat="false" ht="21.75" hidden="false" customHeight="true" outlineLevel="0" collapsed="false">
      <c r="B73" s="17"/>
      <c r="C73" s="17"/>
      <c r="D73" s="17"/>
      <c r="E73" s="17"/>
      <c r="F73" s="18"/>
      <c r="G73" s="17"/>
      <c r="H73" s="17"/>
      <c r="I73" s="18"/>
      <c r="J73" s="17"/>
    </row>
    <row r="74" customFormat="false" ht="21.75" hidden="false" customHeight="true" outlineLevel="0" collapsed="false">
      <c r="B74" s="17"/>
      <c r="C74" s="17"/>
      <c r="D74" s="17"/>
      <c r="E74" s="17"/>
      <c r="F74" s="18"/>
      <c r="G74" s="17"/>
      <c r="H74" s="17"/>
      <c r="I74" s="18"/>
      <c r="J74" s="17"/>
    </row>
    <row r="75" customFormat="false" ht="21.75" hidden="false" customHeight="true" outlineLevel="0" collapsed="false">
      <c r="B75" s="17"/>
      <c r="C75" s="17"/>
      <c r="D75" s="17"/>
      <c r="E75" s="17"/>
      <c r="F75" s="18"/>
      <c r="G75" s="17"/>
      <c r="H75" s="17"/>
      <c r="I75" s="18"/>
      <c r="J75" s="17"/>
    </row>
    <row r="76" customFormat="false" ht="21.75" hidden="false" customHeight="true" outlineLevel="0" collapsed="false">
      <c r="B76" s="17"/>
      <c r="C76" s="17"/>
      <c r="D76" s="17"/>
      <c r="E76" s="17"/>
      <c r="F76" s="18"/>
      <c r="G76" s="17"/>
      <c r="H76" s="17"/>
      <c r="I76" s="18"/>
      <c r="J76" s="17"/>
    </row>
    <row r="77" customFormat="false" ht="21.75" hidden="false" customHeight="true" outlineLevel="0" collapsed="false">
      <c r="B77" s="17"/>
      <c r="C77" s="17"/>
      <c r="D77" s="17"/>
      <c r="E77" s="17"/>
      <c r="F77" s="18"/>
      <c r="G77" s="17"/>
      <c r="H77" s="17"/>
      <c r="I77" s="18"/>
      <c r="J77" s="17"/>
    </row>
    <row r="78" customFormat="false" ht="21.75" hidden="false" customHeight="true" outlineLevel="0" collapsed="false">
      <c r="B78" s="17"/>
      <c r="C78" s="17"/>
      <c r="D78" s="17"/>
      <c r="E78" s="17"/>
      <c r="F78" s="18"/>
      <c r="G78" s="17"/>
      <c r="H78" s="17"/>
      <c r="I78" s="18"/>
      <c r="J78" s="17"/>
    </row>
    <row r="79" customFormat="false" ht="21.75" hidden="false" customHeight="true" outlineLevel="0" collapsed="false">
      <c r="B79" s="17"/>
      <c r="C79" s="17"/>
      <c r="D79" s="17"/>
      <c r="E79" s="17"/>
      <c r="F79" s="18"/>
      <c r="G79" s="17"/>
      <c r="H79" s="17"/>
      <c r="I79" s="18"/>
      <c r="J79" s="17"/>
    </row>
    <row r="80" customFormat="false" ht="21.75" hidden="false" customHeight="true" outlineLevel="0" collapsed="false">
      <c r="B80" s="17"/>
      <c r="C80" s="17"/>
      <c r="D80" s="17"/>
      <c r="E80" s="17"/>
      <c r="F80" s="18"/>
      <c r="G80" s="17"/>
      <c r="H80" s="17"/>
      <c r="I80" s="18"/>
      <c r="J80" s="17"/>
    </row>
    <row r="81" customFormat="false" ht="21.75" hidden="false" customHeight="true" outlineLevel="0" collapsed="false">
      <c r="B81" s="17"/>
      <c r="C81" s="17"/>
      <c r="D81" s="17"/>
      <c r="E81" s="17"/>
      <c r="F81" s="18"/>
      <c r="G81" s="17"/>
      <c r="H81" s="17"/>
      <c r="I81" s="18"/>
      <c r="J81" s="17"/>
    </row>
    <row r="82" customFormat="false" ht="21.75" hidden="false" customHeight="true" outlineLevel="0" collapsed="false">
      <c r="B82" s="17"/>
      <c r="C82" s="17"/>
      <c r="D82" s="17"/>
      <c r="E82" s="17"/>
      <c r="F82" s="18"/>
      <c r="G82" s="17"/>
      <c r="H82" s="17"/>
      <c r="I82" s="18"/>
      <c r="J82" s="17"/>
    </row>
    <row r="83" customFormat="false" ht="21.75" hidden="false" customHeight="true" outlineLevel="0" collapsed="false">
      <c r="B83" s="17"/>
      <c r="C83" s="17"/>
      <c r="D83" s="17"/>
      <c r="E83" s="17"/>
      <c r="F83" s="18"/>
      <c r="G83" s="17"/>
      <c r="H83" s="17"/>
      <c r="I83" s="18"/>
      <c r="J83" s="17"/>
    </row>
    <row r="84" customFormat="false" ht="21.75" hidden="false" customHeight="true" outlineLevel="0" collapsed="false">
      <c r="B84" s="17"/>
      <c r="C84" s="17"/>
      <c r="D84" s="17"/>
      <c r="E84" s="17"/>
      <c r="F84" s="18"/>
      <c r="G84" s="17"/>
      <c r="H84" s="17"/>
      <c r="I84" s="18"/>
      <c r="J84" s="17"/>
    </row>
    <row r="85" customFormat="false" ht="21.75" hidden="false" customHeight="true" outlineLevel="0" collapsed="false">
      <c r="B85" s="17"/>
      <c r="C85" s="17"/>
      <c r="D85" s="17"/>
      <c r="E85" s="17"/>
      <c r="F85" s="18"/>
      <c r="G85" s="17"/>
      <c r="H85" s="17"/>
      <c r="I85" s="18"/>
      <c r="J85" s="17"/>
    </row>
    <row r="86" customFormat="false" ht="21.75" hidden="false" customHeight="true" outlineLevel="0" collapsed="false">
      <c r="B86" s="17"/>
      <c r="C86" s="17"/>
      <c r="D86" s="17"/>
      <c r="E86" s="17"/>
      <c r="F86" s="18"/>
      <c r="G86" s="17"/>
      <c r="H86" s="17"/>
      <c r="I86" s="18"/>
      <c r="J86" s="17"/>
    </row>
    <row r="87" customFormat="false" ht="21.75" hidden="false" customHeight="true" outlineLevel="0" collapsed="false">
      <c r="B87" s="17"/>
      <c r="C87" s="17"/>
      <c r="D87" s="17"/>
      <c r="E87" s="17"/>
      <c r="F87" s="18"/>
      <c r="G87" s="17"/>
      <c r="H87" s="17"/>
      <c r="I87" s="18"/>
      <c r="J87" s="17"/>
    </row>
    <row r="88" customFormat="false" ht="21.75" hidden="false" customHeight="true" outlineLevel="0" collapsed="false">
      <c r="B88" s="17"/>
      <c r="C88" s="17"/>
      <c r="D88" s="17"/>
      <c r="E88" s="17"/>
      <c r="F88" s="18"/>
      <c r="G88" s="17"/>
      <c r="H88" s="17"/>
      <c r="I88" s="18"/>
      <c r="J88" s="17"/>
    </row>
    <row r="89" customFormat="false" ht="21.75" hidden="false" customHeight="true" outlineLevel="0" collapsed="false">
      <c r="B89" s="17"/>
      <c r="C89" s="17"/>
      <c r="D89" s="17"/>
      <c r="E89" s="17"/>
      <c r="F89" s="18"/>
      <c r="G89" s="17"/>
      <c r="H89" s="17"/>
      <c r="I89" s="18"/>
      <c r="J89" s="17"/>
    </row>
    <row r="90" customFormat="false" ht="21.75" hidden="false" customHeight="true" outlineLevel="0" collapsed="false">
      <c r="B90" s="17"/>
      <c r="C90" s="17"/>
      <c r="D90" s="17"/>
      <c r="E90" s="17"/>
      <c r="F90" s="18"/>
      <c r="G90" s="17"/>
      <c r="H90" s="17"/>
      <c r="I90" s="18"/>
      <c r="J90" s="17"/>
    </row>
    <row r="91" customFormat="false" ht="21.75" hidden="false" customHeight="true" outlineLevel="0" collapsed="false">
      <c r="B91" s="17"/>
      <c r="C91" s="17"/>
      <c r="D91" s="17"/>
      <c r="E91" s="17"/>
      <c r="F91" s="18"/>
      <c r="G91" s="17"/>
      <c r="H91" s="17"/>
      <c r="I91" s="18"/>
      <c r="J91" s="17"/>
    </row>
    <row r="92" customFormat="false" ht="21.75" hidden="false" customHeight="true" outlineLevel="0" collapsed="false">
      <c r="B92" s="17"/>
      <c r="C92" s="17"/>
      <c r="D92" s="17"/>
      <c r="E92" s="17"/>
      <c r="F92" s="18"/>
      <c r="G92" s="17"/>
      <c r="H92" s="17"/>
      <c r="I92" s="18"/>
      <c r="J92" s="17"/>
    </row>
    <row r="93" customFormat="false" ht="21.75" hidden="false" customHeight="true" outlineLevel="0" collapsed="false">
      <c r="B93" s="17"/>
      <c r="C93" s="17"/>
      <c r="D93" s="17"/>
      <c r="E93" s="17"/>
      <c r="F93" s="18"/>
      <c r="G93" s="17"/>
      <c r="H93" s="17"/>
      <c r="I93" s="18"/>
      <c r="J93" s="17"/>
    </row>
    <row r="94" customFormat="false" ht="21.75" hidden="false" customHeight="true" outlineLevel="0" collapsed="false">
      <c r="B94" s="17"/>
      <c r="C94" s="17"/>
      <c r="D94" s="17"/>
      <c r="E94" s="17"/>
      <c r="F94" s="18"/>
      <c r="G94" s="17"/>
      <c r="H94" s="17"/>
      <c r="I94" s="18"/>
      <c r="J94" s="17"/>
    </row>
    <row r="95" customFormat="false" ht="21.75" hidden="false" customHeight="true" outlineLevel="0" collapsed="false">
      <c r="B95" s="17"/>
      <c r="C95" s="17"/>
      <c r="D95" s="17"/>
      <c r="E95" s="17"/>
      <c r="F95" s="18"/>
      <c r="G95" s="17"/>
      <c r="H95" s="17"/>
      <c r="I95" s="18"/>
      <c r="J95" s="17"/>
    </row>
    <row r="96" customFormat="false" ht="21.75" hidden="false" customHeight="true" outlineLevel="0" collapsed="false">
      <c r="B96" s="17"/>
      <c r="C96" s="17"/>
      <c r="D96" s="17"/>
      <c r="E96" s="17"/>
      <c r="F96" s="18"/>
      <c r="G96" s="17"/>
      <c r="H96" s="17"/>
      <c r="I96" s="18"/>
      <c r="J96" s="17"/>
    </row>
    <row r="97" customFormat="false" ht="21.75" hidden="false" customHeight="true" outlineLevel="0" collapsed="false">
      <c r="B97" s="17"/>
      <c r="C97" s="17"/>
      <c r="D97" s="17"/>
      <c r="E97" s="17"/>
      <c r="F97" s="18"/>
      <c r="G97" s="17"/>
      <c r="H97" s="17"/>
      <c r="I97" s="18"/>
      <c r="J97" s="17"/>
    </row>
    <row r="98" customFormat="false" ht="21.75" hidden="false" customHeight="true" outlineLevel="0" collapsed="false">
      <c r="B98" s="17"/>
      <c r="C98" s="17"/>
      <c r="D98" s="17"/>
      <c r="E98" s="17"/>
      <c r="F98" s="18"/>
      <c r="G98" s="17"/>
      <c r="H98" s="17"/>
      <c r="I98" s="18"/>
      <c r="J98" s="17"/>
    </row>
    <row r="99" customFormat="false" ht="21.75" hidden="false" customHeight="true" outlineLevel="0" collapsed="false">
      <c r="B99" s="17"/>
      <c r="C99" s="17"/>
      <c r="D99" s="17"/>
      <c r="E99" s="17"/>
      <c r="F99" s="18"/>
      <c r="G99" s="17"/>
      <c r="H99" s="17"/>
      <c r="I99" s="18"/>
      <c r="J99" s="17"/>
    </row>
    <row r="100" customFormat="false" ht="21.75" hidden="false" customHeight="true" outlineLevel="0" collapsed="false">
      <c r="B100" s="17"/>
      <c r="C100" s="17"/>
      <c r="D100" s="17"/>
      <c r="E100" s="17"/>
      <c r="F100" s="18"/>
      <c r="G100" s="17"/>
      <c r="H100" s="17"/>
      <c r="I100" s="18"/>
      <c r="J100" s="17"/>
    </row>
    <row r="101" customFormat="false" ht="21.75" hidden="false" customHeight="true" outlineLevel="0" collapsed="false">
      <c r="B101" s="17"/>
      <c r="C101" s="17"/>
      <c r="D101" s="17"/>
      <c r="E101" s="17"/>
      <c r="F101" s="18"/>
      <c r="G101" s="17"/>
      <c r="H101" s="17"/>
      <c r="I101" s="18"/>
      <c r="J101" s="17"/>
    </row>
    <row r="102" customFormat="false" ht="21.75" hidden="false" customHeight="true" outlineLevel="0" collapsed="false">
      <c r="B102" s="17"/>
      <c r="C102" s="17"/>
      <c r="D102" s="17"/>
      <c r="E102" s="17"/>
      <c r="F102" s="18"/>
      <c r="G102" s="17"/>
      <c r="H102" s="17"/>
      <c r="I102" s="18"/>
      <c r="J102" s="17"/>
    </row>
    <row r="103" customFormat="false" ht="21.75" hidden="false" customHeight="true" outlineLevel="0" collapsed="false">
      <c r="B103" s="17"/>
      <c r="C103" s="17"/>
      <c r="D103" s="17"/>
      <c r="E103" s="17"/>
      <c r="F103" s="18"/>
      <c r="G103" s="17"/>
      <c r="H103" s="17"/>
      <c r="I103" s="18"/>
      <c r="J103" s="17"/>
    </row>
    <row r="104" customFormat="false" ht="21.75" hidden="false" customHeight="true" outlineLevel="0" collapsed="false">
      <c r="B104" s="17"/>
      <c r="C104" s="17"/>
      <c r="D104" s="17"/>
      <c r="E104" s="17"/>
      <c r="F104" s="18"/>
      <c r="G104" s="17"/>
      <c r="H104" s="17"/>
      <c r="I104" s="18"/>
      <c r="J104" s="17"/>
    </row>
    <row r="105" customFormat="false" ht="21.75" hidden="false" customHeight="true" outlineLevel="0" collapsed="false">
      <c r="B105" s="17"/>
      <c r="C105" s="17"/>
      <c r="D105" s="17"/>
      <c r="E105" s="17"/>
      <c r="F105" s="18"/>
      <c r="G105" s="17"/>
      <c r="H105" s="17"/>
      <c r="I105" s="18"/>
      <c r="J105" s="17"/>
    </row>
    <row r="106" customFormat="false" ht="21.75" hidden="false" customHeight="true" outlineLevel="0" collapsed="false">
      <c r="B106" s="17"/>
      <c r="C106" s="17"/>
      <c r="D106" s="17"/>
      <c r="E106" s="17"/>
      <c r="F106" s="18"/>
      <c r="G106" s="17"/>
      <c r="H106" s="17"/>
      <c r="I106" s="18"/>
      <c r="J106" s="17"/>
    </row>
    <row r="107" customFormat="false" ht="21.75" hidden="false" customHeight="true" outlineLevel="0" collapsed="false">
      <c r="B107" s="17"/>
      <c r="C107" s="17"/>
      <c r="D107" s="17"/>
      <c r="E107" s="17"/>
      <c r="F107" s="18"/>
      <c r="G107" s="17"/>
      <c r="H107" s="17"/>
      <c r="I107" s="18"/>
      <c r="J107" s="17"/>
    </row>
    <row r="108" customFormat="false" ht="21.75" hidden="false" customHeight="true" outlineLevel="0" collapsed="false">
      <c r="B108" s="17"/>
      <c r="C108" s="17"/>
      <c r="D108" s="17"/>
      <c r="E108" s="17"/>
      <c r="F108" s="18"/>
      <c r="G108" s="17"/>
      <c r="H108" s="17"/>
      <c r="I108" s="18"/>
      <c r="J108" s="17"/>
    </row>
    <row r="109" customFormat="false" ht="21.75" hidden="false" customHeight="true" outlineLevel="0" collapsed="false">
      <c r="B109" s="17"/>
      <c r="C109" s="17"/>
      <c r="D109" s="17"/>
      <c r="E109" s="17"/>
      <c r="F109" s="18"/>
      <c r="G109" s="17"/>
      <c r="H109" s="17"/>
      <c r="I109" s="18"/>
      <c r="J109" s="17"/>
    </row>
    <row r="110" customFormat="false" ht="21.75" hidden="false" customHeight="true" outlineLevel="0" collapsed="false">
      <c r="B110" s="17"/>
      <c r="C110" s="17"/>
      <c r="D110" s="17"/>
      <c r="E110" s="17"/>
      <c r="F110" s="18"/>
      <c r="G110" s="17"/>
      <c r="H110" s="17"/>
      <c r="I110" s="18"/>
      <c r="J110" s="17"/>
    </row>
    <row r="111" customFormat="false" ht="21.75" hidden="false" customHeight="true" outlineLevel="0" collapsed="false">
      <c r="B111" s="17"/>
      <c r="C111" s="17"/>
      <c r="D111" s="17"/>
      <c r="E111" s="17"/>
      <c r="F111" s="18"/>
      <c r="G111" s="17"/>
      <c r="H111" s="17"/>
      <c r="I111" s="18"/>
      <c r="J111" s="17"/>
    </row>
    <row r="112" customFormat="false" ht="21.75" hidden="false" customHeight="true" outlineLevel="0" collapsed="false">
      <c r="B112" s="17"/>
      <c r="C112" s="17"/>
      <c r="D112" s="17"/>
      <c r="E112" s="17"/>
      <c r="F112" s="18"/>
      <c r="G112" s="17"/>
      <c r="H112" s="17"/>
      <c r="I112" s="18"/>
      <c r="J112" s="17"/>
    </row>
    <row r="113" customFormat="false" ht="21.75" hidden="false" customHeight="true" outlineLevel="0" collapsed="false">
      <c r="B113" s="17"/>
      <c r="C113" s="17"/>
      <c r="D113" s="17"/>
      <c r="E113" s="17"/>
      <c r="F113" s="18"/>
      <c r="G113" s="17"/>
      <c r="H113" s="17"/>
      <c r="I113" s="18"/>
      <c r="J113" s="17"/>
    </row>
    <row r="114" customFormat="false" ht="21.75" hidden="false" customHeight="true" outlineLevel="0" collapsed="false">
      <c r="B114" s="17"/>
      <c r="C114" s="17"/>
      <c r="D114" s="17"/>
      <c r="E114" s="17"/>
      <c r="F114" s="18"/>
      <c r="G114" s="17"/>
      <c r="H114" s="17"/>
      <c r="I114" s="18"/>
      <c r="J114" s="17"/>
    </row>
    <row r="115" customFormat="false" ht="21.75" hidden="false" customHeight="true" outlineLevel="0" collapsed="false">
      <c r="B115" s="17"/>
      <c r="C115" s="17"/>
      <c r="D115" s="17"/>
      <c r="E115" s="17"/>
      <c r="F115" s="18"/>
      <c r="G115" s="17"/>
      <c r="H115" s="17"/>
      <c r="I115" s="18"/>
      <c r="J115" s="17"/>
    </row>
    <row r="116" customFormat="false" ht="21.75" hidden="false" customHeight="true" outlineLevel="0" collapsed="false">
      <c r="B116" s="17"/>
      <c r="C116" s="17"/>
      <c r="D116" s="17"/>
      <c r="E116" s="17"/>
      <c r="F116" s="18"/>
      <c r="G116" s="17"/>
      <c r="H116" s="17"/>
      <c r="I116" s="18"/>
      <c r="J116" s="17"/>
    </row>
    <row r="117" customFormat="false" ht="21.75" hidden="false" customHeight="true" outlineLevel="0" collapsed="false">
      <c r="B117" s="17"/>
      <c r="C117" s="17"/>
      <c r="D117" s="17"/>
      <c r="E117" s="17"/>
      <c r="F117" s="18"/>
      <c r="G117" s="17"/>
      <c r="H117" s="17"/>
      <c r="I117" s="18"/>
      <c r="J117" s="17"/>
    </row>
    <row r="118" customFormat="false" ht="21.75" hidden="false" customHeight="true" outlineLevel="0" collapsed="false">
      <c r="B118" s="17"/>
      <c r="C118" s="17"/>
      <c r="D118" s="17"/>
      <c r="E118" s="17"/>
      <c r="F118" s="18"/>
      <c r="G118" s="17"/>
      <c r="H118" s="17"/>
      <c r="I118" s="18"/>
      <c r="J118" s="17"/>
    </row>
    <row r="119" customFormat="false" ht="21.75" hidden="false" customHeight="true" outlineLevel="0" collapsed="false">
      <c r="B119" s="17"/>
      <c r="C119" s="17"/>
      <c r="D119" s="17"/>
      <c r="E119" s="17"/>
      <c r="F119" s="18"/>
      <c r="G119" s="17"/>
      <c r="H119" s="17"/>
      <c r="I119" s="18"/>
      <c r="J119" s="17"/>
    </row>
    <row r="120" customFormat="false" ht="21.75" hidden="false" customHeight="true" outlineLevel="0" collapsed="false">
      <c r="B120" s="17"/>
      <c r="C120" s="17"/>
      <c r="D120" s="17"/>
      <c r="E120" s="17"/>
      <c r="F120" s="18"/>
      <c r="G120" s="17"/>
      <c r="H120" s="17"/>
      <c r="I120" s="18"/>
      <c r="J120" s="17"/>
    </row>
    <row r="121" customFormat="false" ht="21.75" hidden="false" customHeight="true" outlineLevel="0" collapsed="false">
      <c r="B121" s="17"/>
      <c r="C121" s="17"/>
      <c r="D121" s="17"/>
      <c r="E121" s="17"/>
      <c r="F121" s="18"/>
      <c r="G121" s="17"/>
      <c r="H121" s="17"/>
      <c r="I121" s="18"/>
      <c r="J121" s="17"/>
    </row>
    <row r="122" customFormat="false" ht="21.75" hidden="false" customHeight="true" outlineLevel="0" collapsed="false">
      <c r="B122" s="17"/>
      <c r="C122" s="17"/>
      <c r="D122" s="17"/>
      <c r="E122" s="17"/>
      <c r="F122" s="18"/>
      <c r="G122" s="17"/>
      <c r="H122" s="17"/>
      <c r="I122" s="18"/>
      <c r="J122" s="17"/>
    </row>
    <row r="123" customFormat="false" ht="21.75" hidden="false" customHeight="true" outlineLevel="0" collapsed="false">
      <c r="B123" s="17"/>
      <c r="C123" s="17"/>
      <c r="D123" s="17"/>
      <c r="E123" s="17"/>
      <c r="F123" s="18"/>
      <c r="G123" s="17"/>
      <c r="H123" s="17"/>
      <c r="I123" s="18"/>
      <c r="J123" s="17"/>
    </row>
    <row r="124" customFormat="false" ht="21.75" hidden="false" customHeight="true" outlineLevel="0" collapsed="false">
      <c r="B124" s="17"/>
      <c r="C124" s="17"/>
      <c r="D124" s="17"/>
      <c r="E124" s="17"/>
      <c r="F124" s="18"/>
      <c r="G124" s="17"/>
      <c r="H124" s="17"/>
      <c r="I124" s="18"/>
      <c r="J124" s="17"/>
    </row>
    <row r="125" customFormat="false" ht="21.75" hidden="false" customHeight="true" outlineLevel="0" collapsed="false">
      <c r="B125" s="17"/>
      <c r="C125" s="17"/>
      <c r="D125" s="17"/>
      <c r="E125" s="17"/>
      <c r="F125" s="18"/>
      <c r="G125" s="17"/>
      <c r="H125" s="17"/>
      <c r="I125" s="18"/>
      <c r="J125" s="17"/>
    </row>
    <row r="126" customFormat="false" ht="21.75" hidden="false" customHeight="true" outlineLevel="0" collapsed="false">
      <c r="B126" s="17"/>
      <c r="C126" s="17"/>
      <c r="D126" s="17"/>
      <c r="E126" s="17"/>
      <c r="F126" s="18"/>
      <c r="G126" s="17"/>
      <c r="H126" s="17"/>
      <c r="I126" s="18"/>
      <c r="J126" s="17"/>
    </row>
    <row r="127" customFormat="false" ht="21.75" hidden="false" customHeight="true" outlineLevel="0" collapsed="false">
      <c r="B127" s="17"/>
      <c r="C127" s="17"/>
      <c r="D127" s="17"/>
      <c r="E127" s="17"/>
      <c r="F127" s="18"/>
      <c r="G127" s="17"/>
      <c r="H127" s="17"/>
      <c r="I127" s="18"/>
      <c r="J127" s="17"/>
    </row>
    <row r="128" customFormat="false" ht="21.75" hidden="false" customHeight="true" outlineLevel="0" collapsed="false">
      <c r="B128" s="17"/>
      <c r="C128" s="17"/>
      <c r="D128" s="17"/>
      <c r="E128" s="17"/>
      <c r="F128" s="18"/>
      <c r="G128" s="17"/>
      <c r="H128" s="17"/>
      <c r="I128" s="18"/>
      <c r="J128" s="17"/>
    </row>
    <row r="129" customFormat="false" ht="21.75" hidden="false" customHeight="true" outlineLevel="0" collapsed="false">
      <c r="B129" s="17"/>
      <c r="C129" s="17"/>
      <c r="D129" s="17"/>
      <c r="E129" s="17"/>
      <c r="F129" s="18"/>
      <c r="G129" s="17"/>
      <c r="H129" s="17"/>
      <c r="I129" s="18"/>
      <c r="J129" s="17"/>
    </row>
    <row r="130" customFormat="false" ht="21.75" hidden="false" customHeight="true" outlineLevel="0" collapsed="false">
      <c r="B130" s="17"/>
      <c r="C130" s="17"/>
      <c r="D130" s="17"/>
      <c r="E130" s="17"/>
      <c r="F130" s="18"/>
      <c r="G130" s="17"/>
      <c r="H130" s="17"/>
      <c r="I130" s="18"/>
      <c r="J130" s="17"/>
    </row>
    <row r="131" customFormat="false" ht="21.75" hidden="false" customHeight="true" outlineLevel="0" collapsed="false">
      <c r="B131" s="17"/>
      <c r="C131" s="17"/>
      <c r="D131" s="17"/>
      <c r="E131" s="17"/>
      <c r="F131" s="18"/>
      <c r="G131" s="17"/>
      <c r="H131" s="17"/>
      <c r="I131" s="18"/>
      <c r="J131" s="17"/>
    </row>
    <row r="132" customFormat="false" ht="21.75" hidden="false" customHeight="true" outlineLevel="0" collapsed="false">
      <c r="B132" s="17"/>
      <c r="C132" s="17"/>
      <c r="D132" s="17"/>
      <c r="E132" s="17"/>
      <c r="F132" s="18"/>
      <c r="G132" s="17"/>
      <c r="H132" s="17"/>
      <c r="I132" s="18"/>
      <c r="J132" s="17"/>
    </row>
    <row r="133" customFormat="false" ht="21.75" hidden="false" customHeight="true" outlineLevel="0" collapsed="false">
      <c r="B133" s="17"/>
      <c r="C133" s="17"/>
      <c r="D133" s="17"/>
      <c r="E133" s="17"/>
      <c r="F133" s="18"/>
      <c r="G133" s="17"/>
      <c r="H133" s="17"/>
      <c r="I133" s="18"/>
      <c r="J133" s="17"/>
    </row>
    <row r="134" customFormat="false" ht="21.75" hidden="false" customHeight="true" outlineLevel="0" collapsed="false">
      <c r="B134" s="17"/>
      <c r="C134" s="17"/>
      <c r="D134" s="17"/>
      <c r="E134" s="17"/>
      <c r="F134" s="18"/>
      <c r="G134" s="17"/>
      <c r="H134" s="17"/>
      <c r="I134" s="18"/>
      <c r="J134" s="17"/>
    </row>
    <row r="135" customFormat="false" ht="21.75" hidden="false" customHeight="true" outlineLevel="0" collapsed="false">
      <c r="B135" s="17"/>
      <c r="C135" s="17"/>
      <c r="D135" s="17"/>
      <c r="E135" s="17"/>
      <c r="F135" s="18"/>
      <c r="G135" s="17"/>
      <c r="H135" s="17"/>
      <c r="I135" s="18"/>
      <c r="J135" s="17"/>
    </row>
    <row r="136" customFormat="false" ht="21.75" hidden="false" customHeight="true" outlineLevel="0" collapsed="false">
      <c r="B136" s="17"/>
      <c r="C136" s="17"/>
      <c r="D136" s="17"/>
      <c r="E136" s="17"/>
      <c r="F136" s="18"/>
      <c r="G136" s="17"/>
      <c r="H136" s="17"/>
      <c r="I136" s="18"/>
      <c r="J136" s="17"/>
    </row>
    <row r="137" customFormat="false" ht="21.75" hidden="false" customHeight="true" outlineLevel="0" collapsed="false">
      <c r="B137" s="17"/>
      <c r="C137" s="17"/>
      <c r="D137" s="17"/>
      <c r="E137" s="17"/>
      <c r="F137" s="18"/>
      <c r="G137" s="17"/>
      <c r="H137" s="17"/>
      <c r="I137" s="18"/>
      <c r="J137" s="17"/>
    </row>
    <row r="138" customFormat="false" ht="21.75" hidden="false" customHeight="true" outlineLevel="0" collapsed="false">
      <c r="B138" s="17"/>
      <c r="C138" s="17"/>
      <c r="D138" s="17"/>
      <c r="E138" s="17"/>
      <c r="F138" s="18"/>
      <c r="G138" s="17"/>
      <c r="H138" s="17"/>
      <c r="I138" s="18"/>
      <c r="J138" s="17"/>
    </row>
    <row r="139" customFormat="false" ht="21.75" hidden="false" customHeight="true" outlineLevel="0" collapsed="false">
      <c r="B139" s="17"/>
      <c r="C139" s="17"/>
      <c r="D139" s="17"/>
      <c r="E139" s="17"/>
      <c r="F139" s="18"/>
      <c r="G139" s="17"/>
      <c r="H139" s="17"/>
      <c r="I139" s="18"/>
      <c r="J139" s="17"/>
    </row>
    <row r="140" customFormat="false" ht="21.75" hidden="false" customHeight="true" outlineLevel="0" collapsed="false">
      <c r="B140" s="17"/>
      <c r="C140" s="17"/>
      <c r="D140" s="17"/>
      <c r="E140" s="17"/>
      <c r="F140" s="18"/>
      <c r="G140" s="17"/>
      <c r="H140" s="17"/>
      <c r="I140" s="18"/>
      <c r="J140" s="17"/>
    </row>
    <row r="141" customFormat="false" ht="21.75" hidden="false" customHeight="true" outlineLevel="0" collapsed="false">
      <c r="B141" s="17"/>
      <c r="C141" s="17"/>
      <c r="D141" s="17"/>
      <c r="E141" s="17"/>
      <c r="F141" s="18"/>
      <c r="G141" s="17"/>
      <c r="H141" s="17"/>
      <c r="I141" s="18"/>
      <c r="J141" s="17"/>
    </row>
    <row r="142" customFormat="false" ht="21.75" hidden="false" customHeight="true" outlineLevel="0" collapsed="false">
      <c r="B142" s="17"/>
      <c r="C142" s="17"/>
      <c r="D142" s="17"/>
      <c r="E142" s="17"/>
      <c r="F142" s="18"/>
      <c r="G142" s="17"/>
      <c r="H142" s="17"/>
      <c r="I142" s="18"/>
      <c r="J142" s="17"/>
    </row>
    <row r="143" customFormat="false" ht="21.75" hidden="false" customHeight="true" outlineLevel="0" collapsed="false">
      <c r="B143" s="17"/>
      <c r="C143" s="17"/>
      <c r="D143" s="17"/>
      <c r="E143" s="17"/>
      <c r="F143" s="18"/>
      <c r="G143" s="17"/>
      <c r="H143" s="17"/>
      <c r="I143" s="18"/>
      <c r="J143" s="17"/>
    </row>
    <row r="144" customFormat="false" ht="21.75" hidden="false" customHeight="true" outlineLevel="0" collapsed="false">
      <c r="B144" s="17"/>
      <c r="C144" s="17"/>
      <c r="D144" s="17"/>
      <c r="E144" s="17"/>
      <c r="F144" s="18"/>
      <c r="G144" s="17"/>
      <c r="H144" s="17"/>
      <c r="I144" s="18"/>
      <c r="J144" s="17"/>
    </row>
    <row r="145" customFormat="false" ht="21.75" hidden="false" customHeight="true" outlineLevel="0" collapsed="false">
      <c r="B145" s="17"/>
      <c r="C145" s="17"/>
      <c r="D145" s="17"/>
      <c r="E145" s="17"/>
      <c r="F145" s="18"/>
      <c r="G145" s="17"/>
      <c r="H145" s="17"/>
      <c r="I145" s="18"/>
      <c r="J145" s="17"/>
    </row>
    <row r="146" customFormat="false" ht="21.75" hidden="false" customHeight="true" outlineLevel="0" collapsed="false">
      <c r="B146" s="17"/>
      <c r="C146" s="17"/>
      <c r="D146" s="17"/>
      <c r="E146" s="17"/>
      <c r="F146" s="18"/>
      <c r="G146" s="17"/>
      <c r="H146" s="17"/>
      <c r="I146" s="18"/>
      <c r="J146" s="17"/>
    </row>
    <row r="147" customFormat="false" ht="21.75" hidden="false" customHeight="true" outlineLevel="0" collapsed="false">
      <c r="B147" s="17"/>
      <c r="C147" s="17"/>
      <c r="D147" s="17"/>
      <c r="E147" s="17"/>
      <c r="F147" s="18"/>
      <c r="G147" s="17"/>
      <c r="H147" s="17"/>
      <c r="I147" s="18"/>
      <c r="J147" s="17"/>
    </row>
    <row r="148" customFormat="false" ht="21.75" hidden="false" customHeight="true" outlineLevel="0" collapsed="false">
      <c r="B148" s="17"/>
      <c r="C148" s="17"/>
      <c r="D148" s="17"/>
      <c r="E148" s="17"/>
      <c r="F148" s="18"/>
      <c r="G148" s="17"/>
      <c r="H148" s="17"/>
      <c r="I148" s="18"/>
      <c r="J148" s="17"/>
    </row>
    <row r="149" customFormat="false" ht="21.75" hidden="false" customHeight="true" outlineLevel="0" collapsed="false">
      <c r="B149" s="17"/>
      <c r="C149" s="17"/>
      <c r="D149" s="17"/>
      <c r="E149" s="17"/>
      <c r="F149" s="18"/>
      <c r="G149" s="17"/>
      <c r="H149" s="17"/>
      <c r="I149" s="18"/>
      <c r="J149" s="17"/>
    </row>
    <row r="150" customFormat="false" ht="21.75" hidden="false" customHeight="true" outlineLevel="0" collapsed="false">
      <c r="B150" s="17"/>
      <c r="C150" s="17"/>
      <c r="D150" s="17"/>
      <c r="E150" s="17"/>
      <c r="F150" s="18"/>
      <c r="G150" s="17"/>
      <c r="H150" s="17"/>
      <c r="I150" s="18"/>
      <c r="J150" s="17"/>
    </row>
    <row r="151" customFormat="false" ht="21.75" hidden="false" customHeight="true" outlineLevel="0" collapsed="false">
      <c r="B151" s="17"/>
      <c r="C151" s="17"/>
      <c r="D151" s="17"/>
      <c r="E151" s="17"/>
      <c r="F151" s="18"/>
      <c r="G151" s="17"/>
      <c r="H151" s="17"/>
      <c r="I151" s="18"/>
      <c r="J151" s="17"/>
    </row>
    <row r="152" customFormat="false" ht="21.75" hidden="false" customHeight="true" outlineLevel="0" collapsed="false">
      <c r="B152" s="17"/>
      <c r="C152" s="17"/>
      <c r="D152" s="17"/>
      <c r="E152" s="17"/>
      <c r="F152" s="18"/>
      <c r="G152" s="17"/>
      <c r="H152" s="17"/>
      <c r="I152" s="18"/>
      <c r="J152" s="17"/>
    </row>
    <row r="153" customFormat="false" ht="21.75" hidden="false" customHeight="true" outlineLevel="0" collapsed="false">
      <c r="B153" s="17"/>
      <c r="C153" s="17"/>
      <c r="D153" s="17"/>
      <c r="E153" s="17"/>
      <c r="F153" s="18"/>
      <c r="G153" s="17"/>
      <c r="H153" s="17"/>
      <c r="I153" s="18"/>
      <c r="J153" s="17"/>
    </row>
    <row r="154" customFormat="false" ht="21.75" hidden="false" customHeight="true" outlineLevel="0" collapsed="false">
      <c r="B154" s="17"/>
      <c r="C154" s="17"/>
      <c r="D154" s="17"/>
      <c r="E154" s="17"/>
      <c r="F154" s="18"/>
      <c r="G154" s="17"/>
      <c r="H154" s="17"/>
      <c r="I154" s="18"/>
      <c r="J154" s="17"/>
    </row>
    <row r="155" customFormat="false" ht="21.75" hidden="false" customHeight="true" outlineLevel="0" collapsed="false">
      <c r="B155" s="17"/>
      <c r="C155" s="17"/>
      <c r="D155" s="17"/>
      <c r="E155" s="17"/>
      <c r="F155" s="18"/>
      <c r="G155" s="17"/>
      <c r="H155" s="17"/>
      <c r="I155" s="18"/>
      <c r="J155" s="17"/>
    </row>
    <row r="156" customFormat="false" ht="21.75" hidden="false" customHeight="true" outlineLevel="0" collapsed="false">
      <c r="B156" s="17"/>
      <c r="C156" s="17"/>
      <c r="D156" s="17"/>
      <c r="E156" s="17"/>
      <c r="F156" s="18"/>
      <c r="G156" s="17"/>
      <c r="H156" s="17"/>
      <c r="I156" s="18"/>
      <c r="J156" s="17"/>
    </row>
    <row r="157" customFormat="false" ht="21.75" hidden="false" customHeight="true" outlineLevel="0" collapsed="false">
      <c r="B157" s="17"/>
      <c r="C157" s="17"/>
      <c r="D157" s="17"/>
      <c r="E157" s="17"/>
      <c r="F157" s="18"/>
      <c r="G157" s="17"/>
      <c r="H157" s="17"/>
      <c r="I157" s="18"/>
      <c r="J157" s="17"/>
    </row>
    <row r="158" customFormat="false" ht="21.75" hidden="false" customHeight="true" outlineLevel="0" collapsed="false">
      <c r="B158" s="17"/>
      <c r="C158" s="17"/>
      <c r="D158" s="17"/>
      <c r="E158" s="17"/>
      <c r="F158" s="18"/>
      <c r="G158" s="17"/>
      <c r="H158" s="17"/>
      <c r="I158" s="18"/>
      <c r="J158" s="17"/>
    </row>
    <row r="159" customFormat="false" ht="21.75" hidden="false" customHeight="true" outlineLevel="0" collapsed="false">
      <c r="B159" s="17"/>
      <c r="C159" s="17"/>
      <c r="D159" s="17"/>
      <c r="E159" s="17"/>
      <c r="F159" s="18"/>
      <c r="G159" s="17"/>
      <c r="H159" s="17"/>
      <c r="I159" s="18"/>
      <c r="J159" s="17"/>
    </row>
    <row r="160" customFormat="false" ht="21.75" hidden="false" customHeight="true" outlineLevel="0" collapsed="false">
      <c r="B160" s="17"/>
      <c r="C160" s="17"/>
      <c r="D160" s="17"/>
      <c r="E160" s="17"/>
      <c r="F160" s="18"/>
      <c r="G160" s="17"/>
      <c r="H160" s="17"/>
      <c r="I160" s="18"/>
      <c r="J160" s="17"/>
    </row>
    <row r="161" customFormat="false" ht="21.75" hidden="false" customHeight="true" outlineLevel="0" collapsed="false">
      <c r="B161" s="17"/>
      <c r="C161" s="17"/>
      <c r="D161" s="17"/>
      <c r="E161" s="17"/>
      <c r="F161" s="18"/>
      <c r="G161" s="17"/>
      <c r="H161" s="17"/>
      <c r="I161" s="18"/>
      <c r="J161" s="17"/>
    </row>
    <row r="162" customFormat="false" ht="21.75" hidden="false" customHeight="true" outlineLevel="0" collapsed="false">
      <c r="B162" s="17"/>
      <c r="C162" s="17"/>
      <c r="D162" s="17"/>
      <c r="E162" s="17"/>
      <c r="F162" s="18"/>
      <c r="G162" s="17"/>
      <c r="H162" s="17"/>
      <c r="I162" s="18"/>
      <c r="J162" s="17"/>
    </row>
    <row r="163" customFormat="false" ht="21.75" hidden="false" customHeight="true" outlineLevel="0" collapsed="false">
      <c r="B163" s="17"/>
      <c r="C163" s="17"/>
      <c r="D163" s="17"/>
      <c r="E163" s="17"/>
      <c r="F163" s="18"/>
      <c r="G163" s="17"/>
      <c r="H163" s="17"/>
      <c r="I163" s="18"/>
      <c r="J163" s="17"/>
    </row>
    <row r="164" customFormat="false" ht="21.75" hidden="false" customHeight="true" outlineLevel="0" collapsed="false">
      <c r="B164" s="17"/>
      <c r="C164" s="17"/>
      <c r="D164" s="17"/>
      <c r="E164" s="17"/>
      <c r="F164" s="18"/>
      <c r="G164" s="17"/>
      <c r="H164" s="17"/>
      <c r="I164" s="18"/>
      <c r="J164" s="17"/>
    </row>
    <row r="165" customFormat="false" ht="21.75" hidden="false" customHeight="true" outlineLevel="0" collapsed="false">
      <c r="B165" s="17"/>
      <c r="C165" s="17"/>
      <c r="D165" s="17"/>
      <c r="E165" s="17"/>
      <c r="F165" s="18"/>
      <c r="G165" s="17"/>
      <c r="H165" s="17"/>
      <c r="I165" s="18"/>
      <c r="J165" s="17"/>
    </row>
    <row r="166" customFormat="false" ht="21.75" hidden="false" customHeight="true" outlineLevel="0" collapsed="false">
      <c r="B166" s="17"/>
      <c r="C166" s="17"/>
      <c r="D166" s="17"/>
      <c r="E166" s="17"/>
      <c r="F166" s="18"/>
      <c r="G166" s="17"/>
      <c r="H166" s="17"/>
      <c r="I166" s="18"/>
      <c r="J166" s="17"/>
    </row>
    <row r="167" customFormat="false" ht="21.75" hidden="false" customHeight="true" outlineLevel="0" collapsed="false">
      <c r="B167" s="17"/>
      <c r="C167" s="17"/>
      <c r="D167" s="17"/>
      <c r="E167" s="17"/>
      <c r="F167" s="18"/>
      <c r="G167" s="17"/>
      <c r="H167" s="17"/>
      <c r="I167" s="18"/>
      <c r="J167" s="17"/>
    </row>
    <row r="168" customFormat="false" ht="21.75" hidden="false" customHeight="true" outlineLevel="0" collapsed="false">
      <c r="B168" s="17"/>
      <c r="C168" s="17"/>
      <c r="D168" s="17"/>
      <c r="E168" s="17"/>
      <c r="F168" s="18"/>
      <c r="G168" s="17"/>
      <c r="H168" s="17"/>
      <c r="I168" s="18"/>
      <c r="J168" s="17"/>
    </row>
    <row r="169" customFormat="false" ht="21.75" hidden="false" customHeight="true" outlineLevel="0" collapsed="false">
      <c r="B169" s="17"/>
      <c r="C169" s="17"/>
      <c r="D169" s="17"/>
      <c r="E169" s="17"/>
      <c r="F169" s="18"/>
      <c r="G169" s="17"/>
      <c r="H169" s="17"/>
      <c r="I169" s="18"/>
      <c r="J169" s="17"/>
    </row>
    <row r="170" customFormat="false" ht="21.75" hidden="false" customHeight="true" outlineLevel="0" collapsed="false">
      <c r="B170" s="17"/>
      <c r="C170" s="17"/>
      <c r="D170" s="17"/>
      <c r="E170" s="17"/>
      <c r="F170" s="18"/>
      <c r="G170" s="17"/>
      <c r="H170" s="17"/>
      <c r="I170" s="18"/>
      <c r="J170" s="17"/>
    </row>
    <row r="171" customFormat="false" ht="21.75" hidden="false" customHeight="true" outlineLevel="0" collapsed="false">
      <c r="B171" s="17"/>
      <c r="C171" s="17"/>
      <c r="D171" s="17"/>
      <c r="E171" s="17"/>
      <c r="F171" s="18"/>
      <c r="G171" s="17"/>
      <c r="H171" s="17"/>
      <c r="I171" s="18"/>
      <c r="J171" s="17"/>
    </row>
    <row r="172" customFormat="false" ht="21.75" hidden="false" customHeight="true" outlineLevel="0" collapsed="false">
      <c r="B172" s="17"/>
      <c r="C172" s="17"/>
      <c r="D172" s="17"/>
      <c r="E172" s="17"/>
      <c r="F172" s="18"/>
      <c r="G172" s="17"/>
      <c r="H172" s="17"/>
      <c r="I172" s="18"/>
      <c r="J172" s="17"/>
    </row>
    <row r="173" customFormat="false" ht="21.75" hidden="false" customHeight="true" outlineLevel="0" collapsed="false">
      <c r="B173" s="17"/>
      <c r="C173" s="17"/>
      <c r="D173" s="17"/>
      <c r="E173" s="17"/>
      <c r="F173" s="18"/>
      <c r="G173" s="17"/>
      <c r="H173" s="17"/>
      <c r="I173" s="18"/>
      <c r="J173" s="17"/>
    </row>
    <row r="174" customFormat="false" ht="21.75" hidden="false" customHeight="true" outlineLevel="0" collapsed="false">
      <c r="B174" s="17"/>
      <c r="C174" s="17"/>
      <c r="D174" s="17"/>
      <c r="E174" s="17"/>
      <c r="F174" s="18"/>
      <c r="G174" s="17"/>
      <c r="H174" s="17"/>
      <c r="I174" s="18"/>
      <c r="J174" s="17"/>
    </row>
    <row r="175" customFormat="false" ht="21.75" hidden="false" customHeight="true" outlineLevel="0" collapsed="false">
      <c r="B175" s="17"/>
      <c r="C175" s="17"/>
      <c r="D175" s="17"/>
      <c r="E175" s="17"/>
      <c r="F175" s="18"/>
      <c r="G175" s="17"/>
      <c r="H175" s="17"/>
      <c r="I175" s="18"/>
      <c r="J175" s="17"/>
    </row>
    <row r="176" customFormat="false" ht="21.75" hidden="false" customHeight="true" outlineLevel="0" collapsed="false">
      <c r="B176" s="17"/>
      <c r="C176" s="17"/>
      <c r="D176" s="17"/>
      <c r="E176" s="17"/>
      <c r="F176" s="18"/>
      <c r="G176" s="17"/>
      <c r="H176" s="17"/>
      <c r="I176" s="18"/>
      <c r="J176" s="17"/>
    </row>
    <row r="177" customFormat="false" ht="21.75" hidden="false" customHeight="true" outlineLevel="0" collapsed="false">
      <c r="B177" s="17"/>
      <c r="C177" s="17"/>
      <c r="D177" s="17"/>
      <c r="E177" s="17"/>
      <c r="F177" s="18"/>
      <c r="G177" s="17"/>
      <c r="H177" s="17"/>
      <c r="I177" s="18"/>
      <c r="J177" s="17"/>
    </row>
    <row r="178" customFormat="false" ht="21.75" hidden="false" customHeight="true" outlineLevel="0" collapsed="false">
      <c r="B178" s="17"/>
      <c r="C178" s="17"/>
      <c r="D178" s="17"/>
      <c r="E178" s="17"/>
      <c r="F178" s="18"/>
      <c r="G178" s="17"/>
      <c r="H178" s="17"/>
      <c r="I178" s="18"/>
      <c r="J178" s="17"/>
    </row>
    <row r="179" customFormat="false" ht="21.75" hidden="false" customHeight="true" outlineLevel="0" collapsed="false">
      <c r="B179" s="17"/>
      <c r="C179" s="17"/>
      <c r="D179" s="17"/>
      <c r="E179" s="17"/>
      <c r="F179" s="18"/>
      <c r="G179" s="17"/>
      <c r="H179" s="17"/>
      <c r="I179" s="18"/>
      <c r="J179" s="17"/>
    </row>
    <row r="180" customFormat="false" ht="21.75" hidden="false" customHeight="true" outlineLevel="0" collapsed="false">
      <c r="B180" s="17"/>
      <c r="C180" s="17"/>
      <c r="D180" s="17"/>
      <c r="E180" s="17"/>
      <c r="F180" s="18"/>
      <c r="G180" s="17"/>
      <c r="H180" s="17"/>
      <c r="I180" s="18"/>
      <c r="J180" s="17"/>
    </row>
    <row r="181" customFormat="false" ht="21.75" hidden="false" customHeight="true" outlineLevel="0" collapsed="false">
      <c r="B181" s="17"/>
      <c r="C181" s="17"/>
      <c r="D181" s="17"/>
      <c r="E181" s="17"/>
      <c r="F181" s="18"/>
      <c r="G181" s="17"/>
      <c r="H181" s="17"/>
      <c r="I181" s="18"/>
      <c r="J181" s="17"/>
    </row>
    <row r="182" customFormat="false" ht="21.75" hidden="false" customHeight="true" outlineLevel="0" collapsed="false">
      <c r="B182" s="17"/>
      <c r="C182" s="17"/>
      <c r="D182" s="17"/>
      <c r="E182" s="17"/>
      <c r="F182" s="18"/>
      <c r="G182" s="17"/>
      <c r="H182" s="17"/>
      <c r="I182" s="18"/>
      <c r="J182" s="17"/>
    </row>
    <row r="183" customFormat="false" ht="21.75" hidden="false" customHeight="true" outlineLevel="0" collapsed="false">
      <c r="B183" s="17"/>
      <c r="C183" s="17"/>
      <c r="D183" s="17"/>
      <c r="E183" s="17"/>
      <c r="F183" s="18"/>
      <c r="G183" s="17"/>
      <c r="H183" s="17"/>
      <c r="I183" s="18"/>
      <c r="J183" s="17"/>
    </row>
    <row r="184" customFormat="false" ht="21.75" hidden="false" customHeight="true" outlineLevel="0" collapsed="false">
      <c r="B184" s="17"/>
      <c r="C184" s="17"/>
      <c r="D184" s="17"/>
      <c r="E184" s="17"/>
      <c r="F184" s="18"/>
      <c r="G184" s="17"/>
      <c r="H184" s="17"/>
      <c r="I184" s="18"/>
      <c r="J184" s="17"/>
    </row>
    <row r="185" customFormat="false" ht="21.75" hidden="false" customHeight="true" outlineLevel="0" collapsed="false">
      <c r="B185" s="17"/>
      <c r="C185" s="17"/>
      <c r="D185" s="17"/>
      <c r="E185" s="17"/>
      <c r="F185" s="18"/>
      <c r="G185" s="17"/>
      <c r="H185" s="17"/>
      <c r="I185" s="18"/>
      <c r="J185" s="17"/>
    </row>
    <row r="186" customFormat="false" ht="21.75" hidden="false" customHeight="true" outlineLevel="0" collapsed="false">
      <c r="B186" s="17"/>
      <c r="C186" s="17"/>
      <c r="D186" s="17"/>
      <c r="E186" s="17"/>
      <c r="F186" s="18"/>
      <c r="G186" s="17"/>
      <c r="H186" s="17"/>
      <c r="I186" s="18"/>
      <c r="J186" s="17"/>
    </row>
    <row r="187" customFormat="false" ht="21.75" hidden="false" customHeight="true" outlineLevel="0" collapsed="false">
      <c r="B187" s="17"/>
      <c r="C187" s="17"/>
      <c r="D187" s="17"/>
      <c r="E187" s="17"/>
      <c r="F187" s="18"/>
      <c r="G187" s="17"/>
      <c r="H187" s="17"/>
      <c r="I187" s="18"/>
      <c r="J187" s="17"/>
    </row>
    <row r="188" customFormat="false" ht="21.75" hidden="false" customHeight="true" outlineLevel="0" collapsed="false">
      <c r="B188" s="17"/>
      <c r="C188" s="17"/>
      <c r="D188" s="17"/>
      <c r="E188" s="17"/>
      <c r="F188" s="18"/>
      <c r="G188" s="17"/>
      <c r="H188" s="17"/>
      <c r="I188" s="18"/>
      <c r="J188" s="17"/>
    </row>
    <row r="189" customFormat="false" ht="21.75" hidden="false" customHeight="true" outlineLevel="0" collapsed="false">
      <c r="B189" s="17"/>
      <c r="C189" s="17"/>
      <c r="D189" s="17"/>
      <c r="E189" s="17"/>
      <c r="F189" s="18"/>
      <c r="G189" s="17"/>
      <c r="H189" s="17"/>
      <c r="I189" s="18"/>
      <c r="J189" s="17"/>
    </row>
    <row r="190" customFormat="false" ht="21.75" hidden="false" customHeight="true" outlineLevel="0" collapsed="false">
      <c r="B190" s="17"/>
      <c r="C190" s="17"/>
      <c r="D190" s="17"/>
      <c r="E190" s="17"/>
      <c r="F190" s="18"/>
      <c r="G190" s="17"/>
      <c r="H190" s="17"/>
      <c r="I190" s="18"/>
      <c r="J190" s="17"/>
    </row>
    <row r="191" customFormat="false" ht="21.75" hidden="false" customHeight="true" outlineLevel="0" collapsed="false">
      <c r="B191" s="17"/>
      <c r="C191" s="17"/>
      <c r="D191" s="17"/>
      <c r="E191" s="17"/>
      <c r="F191" s="18"/>
      <c r="G191" s="17"/>
      <c r="H191" s="17"/>
      <c r="I191" s="18"/>
      <c r="J191" s="17"/>
    </row>
    <row r="192" customFormat="false" ht="21.75" hidden="false" customHeight="true" outlineLevel="0" collapsed="false">
      <c r="B192" s="17"/>
      <c r="C192" s="17"/>
      <c r="D192" s="17"/>
      <c r="E192" s="17"/>
      <c r="F192" s="18"/>
      <c r="G192" s="17"/>
      <c r="H192" s="17"/>
      <c r="I192" s="18"/>
      <c r="J192" s="17"/>
    </row>
    <row r="193" customFormat="false" ht="21.75" hidden="false" customHeight="true" outlineLevel="0" collapsed="false">
      <c r="B193" s="17"/>
      <c r="C193" s="17"/>
      <c r="D193" s="17"/>
      <c r="E193" s="17"/>
      <c r="F193" s="18"/>
      <c r="G193" s="17"/>
      <c r="H193" s="17"/>
      <c r="I193" s="18"/>
      <c r="J193" s="17"/>
    </row>
    <row r="194" customFormat="false" ht="21.75" hidden="false" customHeight="true" outlineLevel="0" collapsed="false">
      <c r="B194" s="17"/>
      <c r="C194" s="17"/>
      <c r="D194" s="17"/>
      <c r="E194" s="17"/>
      <c r="F194" s="18"/>
      <c r="G194" s="17"/>
      <c r="H194" s="17"/>
      <c r="I194" s="18"/>
      <c r="J194" s="17"/>
    </row>
    <row r="195" customFormat="false" ht="21.75" hidden="false" customHeight="true" outlineLevel="0" collapsed="false">
      <c r="B195" s="17"/>
      <c r="C195" s="17"/>
      <c r="D195" s="17"/>
      <c r="E195" s="17"/>
      <c r="F195" s="18"/>
      <c r="G195" s="17"/>
      <c r="H195" s="17"/>
      <c r="I195" s="18"/>
      <c r="J195" s="17"/>
    </row>
    <row r="196" customFormat="false" ht="21.75" hidden="false" customHeight="true" outlineLevel="0" collapsed="false">
      <c r="B196" s="17"/>
      <c r="C196" s="17"/>
      <c r="D196" s="17"/>
      <c r="E196" s="17"/>
      <c r="F196" s="18"/>
      <c r="G196" s="17"/>
      <c r="H196" s="17"/>
      <c r="I196" s="18"/>
      <c r="J196" s="17"/>
    </row>
    <row r="197" customFormat="false" ht="21.75" hidden="false" customHeight="true" outlineLevel="0" collapsed="false">
      <c r="B197" s="17"/>
      <c r="C197" s="17"/>
      <c r="D197" s="17"/>
      <c r="E197" s="17"/>
      <c r="F197" s="18"/>
      <c r="G197" s="17"/>
      <c r="H197" s="17"/>
      <c r="I197" s="18"/>
      <c r="J197" s="17"/>
    </row>
    <row r="198" customFormat="false" ht="21.75" hidden="false" customHeight="true" outlineLevel="0" collapsed="false">
      <c r="B198" s="17"/>
      <c r="C198" s="17"/>
      <c r="D198" s="17"/>
      <c r="E198" s="17"/>
      <c r="F198" s="18"/>
      <c r="G198" s="17"/>
      <c r="H198" s="17"/>
      <c r="I198" s="18"/>
      <c r="J198" s="17"/>
    </row>
    <row r="199" customFormat="false" ht="21.75" hidden="false" customHeight="true" outlineLevel="0" collapsed="false">
      <c r="B199" s="17"/>
      <c r="C199" s="17"/>
      <c r="D199" s="17"/>
      <c r="E199" s="17"/>
      <c r="F199" s="18"/>
      <c r="G199" s="17"/>
      <c r="H199" s="17"/>
      <c r="I199" s="18"/>
      <c r="J199" s="17"/>
    </row>
    <row r="200" customFormat="false" ht="21.75" hidden="false" customHeight="true" outlineLevel="0" collapsed="false">
      <c r="B200" s="17"/>
      <c r="C200" s="17"/>
      <c r="D200" s="17"/>
      <c r="E200" s="17"/>
      <c r="F200" s="18"/>
      <c r="G200" s="17"/>
      <c r="H200" s="17"/>
      <c r="I200" s="18"/>
      <c r="J200" s="17"/>
    </row>
    <row r="201" customFormat="false" ht="21.75" hidden="false" customHeight="true" outlineLevel="0" collapsed="false">
      <c r="B201" s="17"/>
      <c r="C201" s="17"/>
      <c r="D201" s="17"/>
      <c r="E201" s="17"/>
      <c r="F201" s="18"/>
      <c r="G201" s="17"/>
      <c r="H201" s="17"/>
      <c r="I201" s="18"/>
      <c r="J201" s="17"/>
    </row>
    <row r="202" customFormat="false" ht="21.75" hidden="false" customHeight="true" outlineLevel="0" collapsed="false">
      <c r="B202" s="17"/>
      <c r="C202" s="17"/>
      <c r="D202" s="17"/>
      <c r="E202" s="17"/>
      <c r="F202" s="18"/>
      <c r="G202" s="17"/>
      <c r="H202" s="17"/>
      <c r="I202" s="18"/>
      <c r="J202" s="17"/>
    </row>
    <row r="203" customFormat="false" ht="21.75" hidden="false" customHeight="true" outlineLevel="0" collapsed="false">
      <c r="B203" s="17"/>
      <c r="C203" s="17"/>
      <c r="D203" s="17"/>
      <c r="E203" s="17"/>
      <c r="F203" s="18"/>
      <c r="G203" s="17"/>
      <c r="H203" s="17"/>
      <c r="I203" s="18"/>
      <c r="J203" s="17"/>
    </row>
    <row r="204" customFormat="false" ht="21.75" hidden="false" customHeight="true" outlineLevel="0" collapsed="false">
      <c r="B204" s="17"/>
      <c r="C204" s="17"/>
      <c r="D204" s="17"/>
      <c r="E204" s="17"/>
      <c r="F204" s="18"/>
      <c r="G204" s="17"/>
      <c r="H204" s="17"/>
      <c r="I204" s="18"/>
      <c r="J204" s="17"/>
    </row>
    <row r="205" customFormat="false" ht="21.75" hidden="false" customHeight="true" outlineLevel="0" collapsed="false">
      <c r="B205" s="17"/>
      <c r="C205" s="17"/>
      <c r="D205" s="17"/>
      <c r="E205" s="17"/>
      <c r="F205" s="18"/>
      <c r="G205" s="17"/>
      <c r="H205" s="17"/>
      <c r="I205" s="18"/>
      <c r="J205" s="17"/>
    </row>
  </sheetData>
  <conditionalFormatting sqref="G6:G205">
    <cfRule type="expression" priority="2" aboveAverage="0" equalAverage="0" bottom="0" percent="0" rank="0" text="" dxfId="0">
      <formula>$G6="Интервью"</formula>
    </cfRule>
    <cfRule type="expression" priority="3" aboveAverage="0" equalAverage="0" bottom="0" percent="0" rank="0" text="" dxfId="0">
      <formula>$G6="Тестовое"</formula>
    </cfRule>
    <cfRule type="expression" priority="4" aboveAverage="0" equalAverage="0" bottom="0" percent="0" rank="0" text="" dxfId="1">
      <formula>$G6="Оффер"</formula>
    </cfRule>
    <cfRule type="expression" priority="5" aboveAverage="0" equalAverage="0" bottom="0" percent="0" rank="0" text="" dxfId="2">
      <formula>$G6="Отказ"</formula>
    </cfRule>
    <cfRule type="expression" priority="6" aboveAverage="0" equalAverage="0" bottom="0" percent="0" rank="0" text="" dxfId="3">
      <formula>$G6="Отклик отправлен"</formula>
    </cfRule>
    <cfRule type="expression" priority="7" aboveAverage="0" equalAverage="0" bottom="0" percent="0" rank="0" text="" dxfId="3">
      <formula>$G6="Связался рекрутер"</formula>
    </cfRule>
    <cfRule type="expression" priority="8" aboveAverage="0" equalAverage="0" bottom="0" percent="0" rank="0" text="" dxfId="4">
      <formula>$G6="Пауза"</formula>
    </cfRule>
  </conditionalFormatting>
  <conditionalFormatting sqref="I6:I205">
    <cfRule type="expression" priority="9" aboveAverage="0" equalAverage="0" bottom="0" percent="0" rank="0" text="" dxfId="5">
      <formula>AND($I6&lt;&gt;"",$I6&lt;TODAY())</formula>
    </cfRule>
  </conditionalFormatting>
  <dataValidations count="3">
    <dataValidation allowBlank="true" errorStyle="stop" operator="between" showDropDown="false" showErrorMessage="false" showInputMessage="false" sqref="G6:G205" type="list">
      <formula1>"Хочу откликнуться,Отклик отправлен,Связался рекрутер,Интервью,Тестовое,Оффер,Отказ,Пауза"</formula1>
      <formula2>0</formula2>
    </dataValidation>
    <dataValidation allowBlank="true" errorStyle="stop" operator="between" showDropDown="false" showErrorMessage="false" showInputMessage="false" sqref="E6:E205" type="list">
      <formula1>"Карьерный сайт,hh.ru,Хабр Карьера,Telegram,Рекомендация,Рекрутер,Другое"</formula1>
      <formula2>0</formula2>
    </dataValidation>
    <dataValidation allowBlank="true" errorStyle="stop" operator="between" showDropDown="false" showErrorMessage="false" showInputMessage="false" sqref="B7:B205" type="list">
      <formula1>Компании!$B$6:$B$60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26"/>
  </cols>
  <sheetData>
    <row r="2" customFormat="false" ht="30" hidden="false" customHeight="true" outlineLevel="0" collapsed="false">
      <c r="B2" s="1" t="s">
        <v>141</v>
      </c>
    </row>
    <row r="3" customFormat="false" ht="15" hidden="false" customHeight="false" outlineLevel="0" collapsed="false">
      <c r="B3" s="2" t="s">
        <v>142</v>
      </c>
    </row>
    <row r="5" customFormat="false" ht="27.75" hidden="false" customHeight="true" outlineLevel="0" collapsed="false">
      <c r="B5" s="3" t="s">
        <v>143</v>
      </c>
      <c r="C5" s="3" t="s">
        <v>144</v>
      </c>
      <c r="D5" s="3" t="s">
        <v>117</v>
      </c>
    </row>
    <row r="6" customFormat="false" ht="27.75" hidden="false" customHeight="true" outlineLevel="0" collapsed="false">
      <c r="B6" s="6" t="s">
        <v>9</v>
      </c>
      <c r="C6" s="19" t="s">
        <v>145</v>
      </c>
      <c r="D6" s="8" t="s">
        <v>146</v>
      </c>
    </row>
    <row r="7" customFormat="false" ht="27.75" hidden="false" customHeight="true" outlineLevel="0" collapsed="false">
      <c r="B7" s="6" t="s">
        <v>147</v>
      </c>
      <c r="C7" s="19" t="s">
        <v>148</v>
      </c>
      <c r="D7" s="8" t="s">
        <v>149</v>
      </c>
    </row>
    <row r="8" customFormat="false" ht="27.75" hidden="false" customHeight="true" outlineLevel="0" collapsed="false">
      <c r="B8" s="6" t="s">
        <v>150</v>
      </c>
      <c r="C8" s="19" t="s">
        <v>151</v>
      </c>
      <c r="D8" s="8" t="s">
        <v>152</v>
      </c>
    </row>
    <row r="9" customFormat="false" ht="27.75" hidden="false" customHeight="true" outlineLevel="0" collapsed="false">
      <c r="B9" s="6" t="s">
        <v>153</v>
      </c>
      <c r="C9" s="19" t="s">
        <v>154</v>
      </c>
      <c r="D9" s="8" t="s">
        <v>155</v>
      </c>
    </row>
  </sheetData>
  <hyperlinks>
    <hyperlink ref="D6" r:id="rId1" display="hh.ru →"/>
    <hyperlink ref="D7" r:id="rId2" display="career.habr.com →"/>
    <hyperlink ref="D8" r:id="rId3" display="getmatch.ru →"/>
    <hyperlink ref="D9" r:id="rId4" display="geekjob.ru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0"/>
  </cols>
  <sheetData>
    <row r="2" customFormat="false" ht="30" hidden="false" customHeight="true" outlineLevel="0" collapsed="false">
      <c r="B2" s="1" t="s">
        <v>156</v>
      </c>
    </row>
    <row r="3" customFormat="false" ht="15" hidden="false" customHeight="false" outlineLevel="0" collapsed="false">
      <c r="B3" s="2" t="s">
        <v>157</v>
      </c>
    </row>
    <row r="5" customFormat="false" ht="19.7" hidden="false" customHeight="false" outlineLevel="0" collapsed="false">
      <c r="B5" s="20" t="n">
        <v>1</v>
      </c>
      <c r="C5" s="21" t="s">
        <v>158</v>
      </c>
    </row>
    <row r="6" customFormat="false" ht="30" hidden="false" customHeight="true" outlineLevel="0" collapsed="false">
      <c r="C6" s="22" t="s">
        <v>159</v>
      </c>
    </row>
    <row r="7" customFormat="false" ht="19.7" hidden="false" customHeight="false" outlineLevel="0" collapsed="false">
      <c r="B7" s="20" t="n">
        <v>2</v>
      </c>
      <c r="C7" s="21" t="s">
        <v>160</v>
      </c>
    </row>
    <row r="8" customFormat="false" ht="30" hidden="false" customHeight="true" outlineLevel="0" collapsed="false">
      <c r="C8" s="22" t="s">
        <v>161</v>
      </c>
    </row>
    <row r="9" customFormat="false" ht="19.7" hidden="false" customHeight="false" outlineLevel="0" collapsed="false">
      <c r="B9" s="20" t="n">
        <v>3</v>
      </c>
      <c r="C9" s="21" t="s">
        <v>162</v>
      </c>
    </row>
    <row r="10" customFormat="false" ht="30" hidden="false" customHeight="true" outlineLevel="0" collapsed="false">
      <c r="C10" s="22" t="s">
        <v>163</v>
      </c>
    </row>
    <row r="11" customFormat="false" ht="19.7" hidden="false" customHeight="false" outlineLevel="0" collapsed="false">
      <c r="B11" s="20" t="n">
        <v>4</v>
      </c>
      <c r="C11" s="21" t="s">
        <v>164</v>
      </c>
    </row>
    <row r="12" customFormat="false" ht="30" hidden="false" customHeight="true" outlineLevel="0" collapsed="false">
      <c r="C12" s="22" t="s">
        <v>165</v>
      </c>
    </row>
    <row r="13" customFormat="false" ht="19.7" hidden="false" customHeight="false" outlineLevel="0" collapsed="false">
      <c r="B13" s="20" t="n">
        <v>5</v>
      </c>
      <c r="C13" s="21" t="s">
        <v>166</v>
      </c>
    </row>
    <row r="14" customFormat="false" ht="30" hidden="false" customHeight="true" outlineLevel="0" collapsed="false">
      <c r="C14" s="2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2026-10-16T15:05:31Z</dcterms:created>
  <dc:creator>openpyxl</dc:creator>
  <dc:description/>
  <dc:language>en-US</dc:language>
  <cp:lastModifiedBy/>
  <dcterms:modified xsi:type="dcterms:W3CDTF">2026-10-16T15:05:31Z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